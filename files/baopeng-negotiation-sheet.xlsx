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gotiation" sheetId="1" state="visible" r:id="rId1"/>
  </sheets>
  <definedNames>
    <definedName name="_xlnm._FilterDatabase" localSheetId="0" hidden="1">'Negotiation'!$A$9:$L$96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1F3B57"/>
      <sz val="9"/>
    </font>
    <font>
      <name val="Arial"/>
      <color rgb="001A1A1A"/>
      <sz val="9"/>
    </font>
    <font>
      <name val="Arial"/>
      <b val="1"/>
      <color rgb="007A5B00"/>
      <sz val="9"/>
    </font>
    <font>
      <name val="Arial"/>
      <b val="1"/>
      <color rgb="00FFFFFF"/>
      <sz val="9"/>
    </font>
    <font>
      <name val="Arial"/>
      <color rgb="0055554F"/>
      <sz val="8"/>
    </font>
    <font>
      <name val="Arial"/>
      <b val="1"/>
      <color rgb="001A1A1A"/>
      <sz val="9"/>
    </font>
    <font>
      <name val="Arial"/>
      <i val="1"/>
      <color rgb="0055554F"/>
      <sz val="8"/>
    </font>
    <font>
      <name val="Arial"/>
      <color rgb="0015487F"/>
      <sz val="9"/>
    </font>
    <font>
      <name val="Arial"/>
      <b val="1"/>
      <color rgb="007A5B00"/>
      <sz val="11"/>
    </font>
    <font>
      <name val="Arial"/>
      <b val="1"/>
      <color rgb="000A6B33"/>
      <sz val="9"/>
    </font>
    <font>
      <name val="Arial"/>
      <i val="1"/>
      <color rgb="008A6D1F"/>
      <sz val="8"/>
    </font>
    <font>
      <name val="Arial"/>
      <b val="1"/>
      <color rgb="00FFFFFF"/>
      <sz val="12"/>
    </font>
    <font>
      <name val="Arial"/>
      <b val="1"/>
      <color rgb="0015487F"/>
      <sz val="11"/>
    </font>
  </fonts>
  <fills count="10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FFF3C4"/>
      </patternFill>
    </fill>
    <fill>
      <patternFill patternType="solid">
        <fgColor rgb="002E6FD6"/>
      </patternFill>
    </fill>
    <fill>
      <patternFill patternType="solid">
        <fgColor rgb="00F4F4F2"/>
      </patternFill>
    </fill>
    <fill>
      <patternFill patternType="solid">
        <fgColor rgb="00E8F0FB"/>
      </patternFill>
    </fill>
    <fill>
      <patternFill patternType="solid">
        <fgColor rgb="00E7F6EC"/>
      </patternFill>
    </fill>
    <fill>
      <patternFill patternType="solid">
        <fgColor rgb="00FFFFFF"/>
      </patternFill>
    </fill>
    <fill>
      <patternFill patternType="solid">
        <fgColor rgb="00FDF0DC"/>
      </patternFill>
    </fill>
  </fills>
  <borders count="3">
    <border>
      <left/>
      <right/>
      <top/>
      <bottom/>
      <diagonal/>
    </border>
    <border>
      <left style="thin">
        <color rgb="00D8D8D4"/>
      </left>
      <right style="thin">
        <color rgb="00D8D8D4"/>
      </right>
      <top style="thin">
        <color rgb="00D8D8D4"/>
      </top>
      <bottom style="thin">
        <color rgb="00D8D8D4"/>
      </bottom>
    </border>
    <border>
      <left style="medium">
        <color rgb="00E0B400"/>
      </left>
      <right style="medium">
        <color rgb="00E0B400"/>
      </right>
      <top style="thin">
        <color rgb="00D8D8D4"/>
      </top>
      <bottom style="thin">
        <color rgb="00D8D8D4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right" vertical="center"/>
    </xf>
    <xf numFmtId="164" fontId="9" fillId="6" borderId="1" applyAlignment="1" pivotButton="0" quotePrefix="0" xfId="0">
      <alignment horizontal="right" vertical="center"/>
    </xf>
    <xf numFmtId="165" fontId="0" fillId="5" borderId="1" applyAlignment="1" pivotButton="0" quotePrefix="0" xfId="0">
      <alignment horizontal="right" vertical="center"/>
    </xf>
    <xf numFmtId="164" fontId="10" fillId="3" borderId="2" applyAlignment="1" pivotButton="0" quotePrefix="0" xfId="0">
      <alignment horizontal="center" vertical="center" wrapText="1"/>
    </xf>
    <xf numFmtId="165" fontId="11" fillId="7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right" vertical="center"/>
    </xf>
    <xf numFmtId="165" fontId="0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164" fontId="0" fillId="9" borderId="1" applyAlignment="1" pivotButton="0" quotePrefix="0" xfId="0">
      <alignment horizontal="right" vertical="center"/>
    </xf>
    <xf numFmtId="165" fontId="0" fillId="9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center" vertical="center" wrapText="1"/>
    </xf>
    <xf numFmtId="165" fontId="13" fillId="2" borderId="1" applyAlignment="1" pivotButton="0" quotePrefix="0" xfId="0">
      <alignment horizontal="right" vertical="center"/>
    </xf>
    <xf numFmtId="165" fontId="14" fillId="6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 wrapText="1"/>
    </xf>
    <xf numFmtId="1" fontId="14" fillId="6" borderId="1" applyAlignment="1" pivotButton="0" quotePrefix="0" xfId="0">
      <alignment horizontal="right" vertical="center"/>
    </xf>
  </cellXfs>
  <cellStyles count="1">
    <cellStyle name="Normal" xfId="0" builtinId="0" hidden="0"/>
  </cellStyles>
  <dxfs count="5">
    <dxf>
      <font>
        <name val="Arial"/>
        <b val="1"/>
        <color rgb="000A6B33"/>
        <sz val="9"/>
      </font>
    </dxf>
    <dxf>
      <font>
        <name val="Arial"/>
        <b val="1"/>
        <color rgb="00B3261E"/>
        <sz val="9"/>
      </font>
    </dxf>
    <dxf>
      <font>
        <name val="Arial"/>
        <b val="1"/>
        <color rgb="000A6B33"/>
        <sz val="9"/>
      </font>
      <fill>
        <patternFill patternType="solid">
          <fgColor rgb="00D6F0DD"/>
        </patternFill>
      </fill>
    </dxf>
    <dxf>
      <font>
        <name val="Arial"/>
        <b val="1"/>
        <color rgb="00B3261E"/>
        <sz val="9"/>
      </font>
      <fill>
        <patternFill patternType="solid">
          <fgColor rgb="00FBE0DE"/>
        </patternFill>
      </fill>
    </dxf>
    <dxf>
      <font>
        <name val="Arial"/>
        <b val="1"/>
        <color rgb="007A5B00"/>
        <sz val="9"/>
      </font>
      <fill>
        <patternFill patternType="solid">
          <fgColor rgb="00FFF3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4" customWidth="1" min="2" max="2"/>
    <col width="6" customWidth="1" min="3" max="3"/>
    <col width="7" customWidth="1" min="4" max="4"/>
    <col width="12" customWidth="1" min="5" max="5"/>
    <col width="12" customWidth="1" min="6" max="6"/>
    <col width="13" customWidth="1" min="7" max="7"/>
    <col width="13" customWidth="1" min="8" max="8"/>
    <col width="13" customWidth="1" min="9" max="9"/>
    <col width="14" customWidth="1" min="10" max="10"/>
    <col width="17" customWidth="1" min="11" max="11"/>
    <col width="30" customWidth="1" min="12" max="12"/>
  </cols>
  <sheetData>
    <row r="1" ht="30" customHeight="1">
      <c r="A1" s="1" t="inlineStr">
        <is>
          <t>FITAZ GYM 2.0  —  BAOPENG (VANBO)  —  NEGOTIATION 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5" customHeight="1">
      <c r="A2" s="3" t="inlineStr">
        <is>
          <t>Supplier</t>
        </is>
      </c>
      <c r="B2" s="4" t="inlineStr">
        <is>
          <t>Baopeng Fitness / VANBO 望搏 — Rudong, Nantong, Jiangsu</t>
        </is>
      </c>
    </row>
    <row r="3" ht="15" customHeight="1">
      <c r="A3" s="3" t="inlineStr">
        <is>
          <t>Contact</t>
        </is>
      </c>
      <c r="B3" s="4" t="inlineStr">
        <is>
          <t>Kang Kang 康康 (English name: Cam)</t>
        </is>
      </c>
    </row>
    <row r="4" ht="15" customHeight="1">
      <c r="A4" s="3" t="inlineStr">
        <is>
          <t>Visit</t>
        </is>
      </c>
      <c r="B4" s="4" t="inlineStr">
        <is>
          <t>Friday 24 July 2026</t>
        </is>
      </c>
    </row>
    <row r="5" ht="15" customHeight="1">
      <c r="A5" s="3" t="inlineStr">
        <is>
          <t>Currency</t>
        </is>
      </c>
      <c r="B5" s="4" t="inlineStr">
        <is>
          <t>USD, FOB — confirm port with Cam</t>
        </is>
      </c>
    </row>
    <row r="6" ht="15" customHeight="1">
      <c r="A6" s="3" t="inlineStr">
        <is>
          <t>Quoted</t>
        </is>
      </c>
      <c r="B6" s="4" t="inlineStr">
        <is>
          <t>23 Jul 2026 · handwritten on our RFQ</t>
        </is>
      </c>
    </row>
    <row r="7" ht="20" customHeight="1">
      <c r="A7" s="5" t="inlineStr">
        <is>
          <t>KEY   ▸ Type ONLY in the YELLOW column (AGREED /pc).  Grey = Cam's quote.  Blue = our target.  Green = calculated.  Amber = not yet quoted.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9" ht="32" customHeight="1">
      <c r="A9" s="7" t="inlineStr">
        <is>
          <t>Group</t>
        </is>
      </c>
      <c r="B9" s="7" t="inlineStr">
        <is>
          <t>Item</t>
        </is>
      </c>
      <c r="C9" s="7" t="inlineStr">
        <is>
          <t>Qty</t>
        </is>
      </c>
      <c r="D9" s="7" t="inlineStr">
        <is>
          <t>Unit</t>
        </is>
      </c>
      <c r="E9" s="7" t="inlineStr">
        <is>
          <t>Quoted /pc</t>
        </is>
      </c>
      <c r="F9" s="7" t="inlineStr">
        <is>
          <t>Target /pc</t>
        </is>
      </c>
      <c r="G9" s="7" t="inlineStr">
        <is>
          <t>Quoted total</t>
        </is>
      </c>
      <c r="H9" s="7" t="inlineStr">
        <is>
          <t>AGREED /pc</t>
        </is>
      </c>
      <c r="I9" s="7" t="inlineStr">
        <is>
          <t>Agreed total</t>
        </is>
      </c>
      <c r="J9" s="7" t="inlineStr">
        <is>
          <t>Saving vs quote</t>
        </is>
      </c>
      <c r="K9" s="7" t="inlineStr">
        <is>
          <t>Status</t>
        </is>
      </c>
      <c r="L9" s="7" t="inlineStr">
        <is>
          <t>Notes</t>
        </is>
      </c>
    </row>
    <row r="10" ht="19" customHeight="1">
      <c r="A10" s="8" t="inlineStr">
        <is>
          <t>Olympic barbells</t>
        </is>
      </c>
      <c r="B10" s="9" t="inlineStr">
        <is>
          <t>Olympic barbell 20 kg (men's)</t>
        </is>
      </c>
      <c r="C10" s="10" t="n">
        <v>10</v>
      </c>
      <c r="D10" s="11" t="inlineStr">
        <is>
          <t>each</t>
        </is>
      </c>
      <c r="E10" s="12" t="n">
        <v>71</v>
      </c>
      <c r="F10" s="13" t="n">
        <v>63</v>
      </c>
      <c r="G10" s="14">
        <f>IF(E10="","",C10*E10)</f>
        <v/>
      </c>
      <c r="H10" s="15" t="n"/>
      <c r="I10" s="16">
        <f>IF(H10="","",C10*H10)</f>
        <v/>
      </c>
      <c r="J10" s="14">
        <f>IF(OR(H10="",E10=""),"",G10-I10)</f>
        <v/>
      </c>
      <c r="K10" s="17">
        <f>IF(H10="","— pending",IF(F10="","quoted?",IF(H10&lt;=F10,"✓ hit target",IF(H10&lt;=E10,"~ under quote","✗ over quote"))))</f>
        <v/>
      </c>
      <c r="L10" s="18" t="inlineStr"/>
    </row>
    <row r="11" ht="19" customHeight="1">
      <c r="A11" s="8" t="inlineStr">
        <is>
          <t>Olympic barbells</t>
        </is>
      </c>
      <c r="B11" s="9" t="inlineStr">
        <is>
          <t>Olympic barbell 15 kg (women's)</t>
        </is>
      </c>
      <c r="C11" s="10" t="n">
        <v>4</v>
      </c>
      <c r="D11" s="11" t="inlineStr">
        <is>
          <t>each</t>
        </is>
      </c>
      <c r="E11" s="12" t="n">
        <v>68</v>
      </c>
      <c r="F11" s="13" t="n">
        <v>60</v>
      </c>
      <c r="G11" s="14">
        <f>IF(E11="","",C11*E11)</f>
        <v/>
      </c>
      <c r="H11" s="15" t="n"/>
      <c r="I11" s="16">
        <f>IF(H11="","",C11*H11)</f>
        <v/>
      </c>
      <c r="J11" s="14">
        <f>IF(OR(H11="",E11=""),"",G11-I11)</f>
        <v/>
      </c>
      <c r="K11" s="17">
        <f>IF(H11="","— pending",IF(F11="","quoted?",IF(H11&lt;=F11,"✓ hit target",IF(H11&lt;=E11,"~ under quote","✗ over quote"))))</f>
        <v/>
      </c>
      <c r="L11" s="18" t="inlineStr"/>
    </row>
    <row r="12" ht="19" customHeight="1">
      <c r="A12" s="19" t="inlineStr">
        <is>
          <t>Wall balls</t>
        </is>
      </c>
      <c r="B12" s="20" t="inlineStr">
        <is>
          <t>Wall ball 4 kg</t>
        </is>
      </c>
      <c r="C12" s="21" t="n">
        <v>4</v>
      </c>
      <c r="D12" s="22" t="inlineStr">
        <is>
          <t>each</t>
        </is>
      </c>
      <c r="E12" s="23" t="n">
        <v>13.8</v>
      </c>
      <c r="F12" s="13" t="n">
        <v>11</v>
      </c>
      <c r="G12" s="24">
        <f>IF(E12="","",C12*E12)</f>
        <v/>
      </c>
      <c r="H12" s="15" t="n"/>
      <c r="I12" s="16">
        <f>IF(H12="","",C12*H12)</f>
        <v/>
      </c>
      <c r="J12" s="24">
        <f>IF(OR(H12="",E12=""),"",G12-I12)</f>
        <v/>
      </c>
      <c r="K12" s="25">
        <f>IF(H12="","— pending",IF(F12="","quoted?",IF(H12&lt;=F12,"✓ hit target",IF(H12&lt;=E12,"~ under quote","✗ over quote"))))</f>
        <v/>
      </c>
      <c r="L12" s="26" t="inlineStr"/>
    </row>
    <row r="13" ht="19" customHeight="1">
      <c r="A13" s="19" t="inlineStr">
        <is>
          <t>Wall balls</t>
        </is>
      </c>
      <c r="B13" s="20" t="inlineStr">
        <is>
          <t>Wall ball 6 kg</t>
        </is>
      </c>
      <c r="C13" s="21" t="n">
        <v>4</v>
      </c>
      <c r="D13" s="22" t="inlineStr">
        <is>
          <t>each</t>
        </is>
      </c>
      <c r="E13" s="23" t="n">
        <v>14.8</v>
      </c>
      <c r="F13" s="13" t="n">
        <v>12.5</v>
      </c>
      <c r="G13" s="24">
        <f>IF(E13="","",C13*E13)</f>
        <v/>
      </c>
      <c r="H13" s="15" t="n"/>
      <c r="I13" s="16">
        <f>IF(H13="","",C13*H13)</f>
        <v/>
      </c>
      <c r="J13" s="24">
        <f>IF(OR(H13="",E13=""),"",G13-I13)</f>
        <v/>
      </c>
      <c r="K13" s="25">
        <f>IF(H13="","— pending",IF(F13="","quoted?",IF(H13&lt;=F13,"✓ hit target",IF(H13&lt;=E13,"~ under quote","✗ over quote"))))</f>
        <v/>
      </c>
      <c r="L13" s="26" t="inlineStr"/>
    </row>
    <row r="14" ht="19" customHeight="1">
      <c r="A14" s="19" t="inlineStr">
        <is>
          <t>Wall balls</t>
        </is>
      </c>
      <c r="B14" s="20" t="inlineStr">
        <is>
          <t>Wall ball 9 kg</t>
        </is>
      </c>
      <c r="C14" s="21" t="n">
        <v>4</v>
      </c>
      <c r="D14" s="22" t="inlineStr">
        <is>
          <t>each</t>
        </is>
      </c>
      <c r="E14" s="23" t="n">
        <v>16.5</v>
      </c>
      <c r="F14" s="13" t="n">
        <v>14</v>
      </c>
      <c r="G14" s="24">
        <f>IF(E14="","",C14*E14)</f>
        <v/>
      </c>
      <c r="H14" s="15" t="n"/>
      <c r="I14" s="16">
        <f>IF(H14="","",C14*H14)</f>
        <v/>
      </c>
      <c r="J14" s="24">
        <f>IF(OR(H14="",E14=""),"",G14-I14)</f>
        <v/>
      </c>
      <c r="K14" s="25">
        <f>IF(H14="","— pending",IF(F14="","quoted?",IF(H14&lt;=F14,"✓ hit target",IF(H14&lt;=E14,"~ under quote","✗ over quote"))))</f>
        <v/>
      </c>
      <c r="L14" s="26" t="inlineStr"/>
    </row>
    <row r="15" ht="19" customHeight="1">
      <c r="A15" s="8" t="inlineStr">
        <is>
          <t>Dead balls</t>
        </is>
      </c>
      <c r="B15" s="9" t="inlineStr">
        <is>
          <t>Dead ball 6 kg</t>
        </is>
      </c>
      <c r="C15" s="10" t="n">
        <v>2</v>
      </c>
      <c r="D15" s="11" t="inlineStr">
        <is>
          <t>each</t>
        </is>
      </c>
      <c r="E15" s="12" t="n">
        <v>4.25</v>
      </c>
      <c r="F15" s="13" t="n">
        <v>4.05</v>
      </c>
      <c r="G15" s="14">
        <f>IF(E15="","",C15*E15)</f>
        <v/>
      </c>
      <c r="H15" s="15" t="n"/>
      <c r="I15" s="16">
        <f>IF(H15="","",C15*H15)</f>
        <v/>
      </c>
      <c r="J15" s="14">
        <f>IF(OR(H15="",E15=""),"",G15-I15)</f>
        <v/>
      </c>
      <c r="K15" s="17">
        <f>IF(H15="","— pending",IF(F15="","quoted?",IF(H15&lt;=F15,"✓ hit target",IF(H15&lt;=E15,"~ under quote","✗ over quote"))))</f>
        <v/>
      </c>
      <c r="L15" s="18" t="inlineStr"/>
    </row>
    <row r="16" ht="19" customHeight="1">
      <c r="A16" s="8" t="inlineStr">
        <is>
          <t>Dead balls</t>
        </is>
      </c>
      <c r="B16" s="9" t="inlineStr">
        <is>
          <t>Dead ball 8 kg</t>
        </is>
      </c>
      <c r="C16" s="10" t="n">
        <v>4</v>
      </c>
      <c r="D16" s="11" t="inlineStr">
        <is>
          <t>each</t>
        </is>
      </c>
      <c r="E16" s="12" t="n">
        <v>4.69</v>
      </c>
      <c r="F16" s="13" t="n">
        <v>4.45</v>
      </c>
      <c r="G16" s="14">
        <f>IF(E16="","",C16*E16)</f>
        <v/>
      </c>
      <c r="H16" s="15" t="n"/>
      <c r="I16" s="16">
        <f>IF(H16="","",C16*H16)</f>
        <v/>
      </c>
      <c r="J16" s="14">
        <f>IF(OR(H16="",E16=""),"",G16-I16)</f>
        <v/>
      </c>
      <c r="K16" s="17">
        <f>IF(H16="","— pending",IF(F16="","quoted?",IF(H16&lt;=F16,"✓ hit target",IF(H16&lt;=E16,"~ under quote","✗ over quote"))))</f>
        <v/>
      </c>
      <c r="L16" s="18" t="inlineStr"/>
    </row>
    <row r="17" ht="19" customHeight="1">
      <c r="A17" s="8" t="inlineStr">
        <is>
          <t>Dead balls</t>
        </is>
      </c>
      <c r="B17" s="9" t="inlineStr">
        <is>
          <t>Dead ball 12 kg</t>
        </is>
      </c>
      <c r="C17" s="10" t="n">
        <v>4</v>
      </c>
      <c r="D17" s="11" t="inlineStr">
        <is>
          <t>each</t>
        </is>
      </c>
      <c r="E17" s="12" t="n">
        <v>6.1</v>
      </c>
      <c r="F17" s="13" t="n">
        <v>5.8</v>
      </c>
      <c r="G17" s="14">
        <f>IF(E17="","",C17*E17)</f>
        <v/>
      </c>
      <c r="H17" s="15" t="n"/>
      <c r="I17" s="16">
        <f>IF(H17="","",C17*H17)</f>
        <v/>
      </c>
      <c r="J17" s="14">
        <f>IF(OR(H17="",E17=""),"",G17-I17)</f>
        <v/>
      </c>
      <c r="K17" s="17">
        <f>IF(H17="","— pending",IF(F17="","quoted?",IF(H17&lt;=F17,"✓ hit target",IF(H17&lt;=E17,"~ under quote","✗ over quote"))))</f>
        <v/>
      </c>
      <c r="L17" s="18" t="inlineStr"/>
    </row>
    <row r="18" ht="19" customHeight="1">
      <c r="A18" s="8" t="inlineStr">
        <is>
          <t>Dead balls</t>
        </is>
      </c>
      <c r="B18" s="9" t="inlineStr">
        <is>
          <t>Dead ball 16 kg</t>
        </is>
      </c>
      <c r="C18" s="10" t="n">
        <v>2</v>
      </c>
      <c r="D18" s="11" t="inlineStr">
        <is>
          <t>each</t>
        </is>
      </c>
      <c r="E18" s="12" t="n">
        <v>9.380000000000001</v>
      </c>
      <c r="F18" s="13" t="n">
        <v>8.9</v>
      </c>
      <c r="G18" s="14">
        <f>IF(E18="","",C18*E18)</f>
        <v/>
      </c>
      <c r="H18" s="15" t="n"/>
      <c r="I18" s="16">
        <f>IF(H18="","",C18*H18)</f>
        <v/>
      </c>
      <c r="J18" s="14">
        <f>IF(OR(H18="",E18=""),"",G18-I18)</f>
        <v/>
      </c>
      <c r="K18" s="17">
        <f>IF(H18="","— pending",IF(F18="","quoted?",IF(H18&lt;=F18,"✓ hit target",IF(H18&lt;=E18,"~ under quote","✗ over quote"))))</f>
        <v/>
      </c>
      <c r="L18" s="18" t="inlineStr"/>
    </row>
    <row r="19" ht="19" customHeight="1">
      <c r="A19" s="8" t="inlineStr">
        <is>
          <t>Dead balls</t>
        </is>
      </c>
      <c r="B19" s="9" t="inlineStr">
        <is>
          <t>Dead ball 20 kg</t>
        </is>
      </c>
      <c r="C19" s="10" t="n">
        <v>2</v>
      </c>
      <c r="D19" s="11" t="inlineStr">
        <is>
          <t>each</t>
        </is>
      </c>
      <c r="E19" s="12" t="n">
        <v>14.85</v>
      </c>
      <c r="F19" s="13" t="n">
        <v>14.1</v>
      </c>
      <c r="G19" s="14">
        <f>IF(E19="","",C19*E19)</f>
        <v/>
      </c>
      <c r="H19" s="15" t="n"/>
      <c r="I19" s="16">
        <f>IF(H19="","",C19*H19)</f>
        <v/>
      </c>
      <c r="J19" s="14">
        <f>IF(OR(H19="",E19=""),"",G19-I19)</f>
        <v/>
      </c>
      <c r="K19" s="17">
        <f>IF(H19="","— pending",IF(F19="","quoted?",IF(H19&lt;=F19,"✓ hit target",IF(H19&lt;=E19,"~ under quote","✗ over quote"))))</f>
        <v/>
      </c>
      <c r="L19" s="18" t="inlineStr"/>
    </row>
    <row r="20" ht="19" customHeight="1">
      <c r="A20" s="8" t="inlineStr">
        <is>
          <t>Dead balls</t>
        </is>
      </c>
      <c r="B20" s="9" t="inlineStr">
        <is>
          <t>Dead ball 25 kg</t>
        </is>
      </c>
      <c r="C20" s="10" t="n">
        <v>2</v>
      </c>
      <c r="D20" s="11" t="inlineStr">
        <is>
          <t>each</t>
        </is>
      </c>
      <c r="E20" s="12" t="n">
        <v>18.75</v>
      </c>
      <c r="F20" s="13" t="n">
        <v>17.8</v>
      </c>
      <c r="G20" s="14">
        <f>IF(E20="","",C20*E20)</f>
        <v/>
      </c>
      <c r="H20" s="15" t="n"/>
      <c r="I20" s="16">
        <f>IF(H20="","",C20*H20)</f>
        <v/>
      </c>
      <c r="J20" s="14">
        <f>IF(OR(H20="",E20=""),"",G20-I20)</f>
        <v/>
      </c>
      <c r="K20" s="17">
        <f>IF(H20="","— pending",IF(F20="","quoted?",IF(H20&lt;=F20,"✓ hit target",IF(H20&lt;=E20,"~ under quote","✗ over quote"))))</f>
        <v/>
      </c>
      <c r="L20" s="18" t="inlineStr"/>
    </row>
    <row r="21" ht="19" customHeight="1">
      <c r="A21" s="8" t="inlineStr">
        <is>
          <t>Dead balls</t>
        </is>
      </c>
      <c r="B21" s="9" t="inlineStr">
        <is>
          <t>Dead ball 30 kg</t>
        </is>
      </c>
      <c r="C21" s="10" t="n">
        <v>2</v>
      </c>
      <c r="D21" s="11" t="inlineStr">
        <is>
          <t>each</t>
        </is>
      </c>
      <c r="E21" s="12" t="n">
        <v>22.65</v>
      </c>
      <c r="F21" s="13" t="n">
        <v>21.5</v>
      </c>
      <c r="G21" s="14">
        <f>IF(E21="","",C21*E21)</f>
        <v/>
      </c>
      <c r="H21" s="15" t="n"/>
      <c r="I21" s="16">
        <f>IF(H21="","",C21*H21)</f>
        <v/>
      </c>
      <c r="J21" s="14">
        <f>IF(OR(H21="",E21=""),"",G21-I21)</f>
        <v/>
      </c>
      <c r="K21" s="17">
        <f>IF(H21="","— pending",IF(F21="","quoted?",IF(H21&lt;=F21,"✓ hit target",IF(H21&lt;=E21,"~ under quote","✗ over quote"))))</f>
        <v/>
      </c>
      <c r="L21" s="18" t="inlineStr"/>
    </row>
    <row r="22" ht="19" customHeight="1">
      <c r="A22" s="8" t="inlineStr">
        <is>
          <t>Dead balls</t>
        </is>
      </c>
      <c r="B22" s="9" t="inlineStr">
        <is>
          <t>Dead ball 40 kg</t>
        </is>
      </c>
      <c r="C22" s="10" t="n">
        <v>1</v>
      </c>
      <c r="D22" s="11" t="inlineStr">
        <is>
          <t>each</t>
        </is>
      </c>
      <c r="E22" s="12" t="n">
        <v>28.9</v>
      </c>
      <c r="F22" s="13" t="n">
        <v>27.45</v>
      </c>
      <c r="G22" s="14">
        <f>IF(E22="","",C22*E22)</f>
        <v/>
      </c>
      <c r="H22" s="15" t="n"/>
      <c r="I22" s="16">
        <f>IF(H22="","",C22*H22)</f>
        <v/>
      </c>
      <c r="J22" s="14">
        <f>IF(OR(H22="",E22=""),"",G22-I22)</f>
        <v/>
      </c>
      <c r="K22" s="17">
        <f>IF(H22="","— pending",IF(F22="","quoted?",IF(H22&lt;=F22,"✓ hit target",IF(H22&lt;=E22,"~ under quote","✗ over quote"))))</f>
        <v/>
      </c>
      <c r="L22" s="18" t="inlineStr"/>
    </row>
    <row r="23" ht="19" customHeight="1">
      <c r="A23" s="19" t="inlineStr">
        <is>
          <t>Kettlebells (competition steel)</t>
        </is>
      </c>
      <c r="B23" s="20" t="inlineStr">
        <is>
          <t>Kettlebell 6 kg</t>
        </is>
      </c>
      <c r="C23" s="21" t="n">
        <v>4</v>
      </c>
      <c r="D23" s="22" t="inlineStr">
        <is>
          <t>each</t>
        </is>
      </c>
      <c r="E23" s="23" t="n">
        <v>20</v>
      </c>
      <c r="F23" s="13" t="n">
        <v>17.6</v>
      </c>
      <c r="G23" s="24">
        <f>IF(E23="","",C23*E23)</f>
        <v/>
      </c>
      <c r="H23" s="15" t="n"/>
      <c r="I23" s="16">
        <f>IF(H23="","",C23*H23)</f>
        <v/>
      </c>
      <c r="J23" s="24">
        <f>IF(OR(H23="",E23=""),"",G23-I23)</f>
        <v/>
      </c>
      <c r="K23" s="25">
        <f>IF(H23="","— pending",IF(F23="","quoted?",IF(H23&lt;=F23,"✓ hit target",IF(H23&lt;=E23,"~ under quote","✗ over quote"))))</f>
        <v/>
      </c>
      <c r="L23" s="26" t="inlineStr"/>
    </row>
    <row r="24" ht="19" customHeight="1">
      <c r="A24" s="19" t="inlineStr">
        <is>
          <t>Kettlebells (competition steel)</t>
        </is>
      </c>
      <c r="B24" s="20" t="inlineStr">
        <is>
          <t>Kettlebell 8 kg</t>
        </is>
      </c>
      <c r="C24" s="21" t="n">
        <v>4</v>
      </c>
      <c r="D24" s="22" t="inlineStr">
        <is>
          <t>each</t>
        </is>
      </c>
      <c r="E24" s="23" t="n">
        <v>20.6</v>
      </c>
      <c r="F24" s="13" t="n">
        <v>18.15</v>
      </c>
      <c r="G24" s="24">
        <f>IF(E24="","",C24*E24)</f>
        <v/>
      </c>
      <c r="H24" s="15" t="n"/>
      <c r="I24" s="16">
        <f>IF(H24="","",C24*H24)</f>
        <v/>
      </c>
      <c r="J24" s="24">
        <f>IF(OR(H24="",E24=""),"",G24-I24)</f>
        <v/>
      </c>
      <c r="K24" s="25">
        <f>IF(H24="","— pending",IF(F24="","quoted?",IF(H24&lt;=F24,"✓ hit target",IF(H24&lt;=E24,"~ under quote","✗ over quote"))))</f>
        <v/>
      </c>
      <c r="L24" s="26" t="inlineStr"/>
    </row>
    <row r="25" ht="19" customHeight="1">
      <c r="A25" s="19" t="inlineStr">
        <is>
          <t>Kettlebells (competition steel)</t>
        </is>
      </c>
      <c r="B25" s="20" t="inlineStr">
        <is>
          <t>Kettlebell 12 kg</t>
        </is>
      </c>
      <c r="C25" s="21" t="n">
        <v>4</v>
      </c>
      <c r="D25" s="22" t="inlineStr">
        <is>
          <t>each</t>
        </is>
      </c>
      <c r="E25" s="23" t="n">
        <v>21.5</v>
      </c>
      <c r="F25" s="13" t="n">
        <v>18.9</v>
      </c>
      <c r="G25" s="24">
        <f>IF(E25="","",C25*E25)</f>
        <v/>
      </c>
      <c r="H25" s="15" t="n"/>
      <c r="I25" s="16">
        <f>IF(H25="","",C25*H25)</f>
        <v/>
      </c>
      <c r="J25" s="24">
        <f>IF(OR(H25="",E25=""),"",G25-I25)</f>
        <v/>
      </c>
      <c r="K25" s="25">
        <f>IF(H25="","— pending",IF(F25="","quoted?",IF(H25&lt;=F25,"✓ hit target",IF(H25&lt;=E25,"~ under quote","✗ over quote"))))</f>
        <v/>
      </c>
      <c r="L25" s="26" t="inlineStr"/>
    </row>
    <row r="26" ht="19" customHeight="1">
      <c r="A26" s="19" t="inlineStr">
        <is>
          <t>Kettlebells (competition steel)</t>
        </is>
      </c>
      <c r="B26" s="20" t="inlineStr">
        <is>
          <t>Kettlebell 16 kg</t>
        </is>
      </c>
      <c r="C26" s="21" t="n">
        <v>6</v>
      </c>
      <c r="D26" s="22" t="inlineStr">
        <is>
          <t>each</t>
        </is>
      </c>
      <c r="E26" s="23" t="n">
        <v>27.5</v>
      </c>
      <c r="F26" s="13" t="n">
        <v>24.2</v>
      </c>
      <c r="G26" s="24">
        <f>IF(E26="","",C26*E26)</f>
        <v/>
      </c>
      <c r="H26" s="15" t="n"/>
      <c r="I26" s="16">
        <f>IF(H26="","",C26*H26)</f>
        <v/>
      </c>
      <c r="J26" s="24">
        <f>IF(OR(H26="",E26=""),"",G26-I26)</f>
        <v/>
      </c>
      <c r="K26" s="25">
        <f>IF(H26="","— pending",IF(F26="","quoted?",IF(H26&lt;=F26,"✓ hit target",IF(H26&lt;=E26,"~ under quote","✗ over quote"))))</f>
        <v/>
      </c>
      <c r="L26" s="26" t="inlineStr"/>
    </row>
    <row r="27" ht="19" customHeight="1">
      <c r="A27" s="19" t="inlineStr">
        <is>
          <t>Kettlebells (competition steel)</t>
        </is>
      </c>
      <c r="B27" s="20" t="inlineStr">
        <is>
          <t>Kettlebell 20 kg</t>
        </is>
      </c>
      <c r="C27" s="21" t="n">
        <v>4</v>
      </c>
      <c r="D27" s="22" t="inlineStr">
        <is>
          <t>each</t>
        </is>
      </c>
      <c r="E27" s="23" t="n">
        <v>33</v>
      </c>
      <c r="F27" s="13" t="n">
        <v>29.05</v>
      </c>
      <c r="G27" s="24">
        <f>IF(E27="","",C27*E27)</f>
        <v/>
      </c>
      <c r="H27" s="15" t="n"/>
      <c r="I27" s="16">
        <f>IF(H27="","",C27*H27)</f>
        <v/>
      </c>
      <c r="J27" s="24">
        <f>IF(OR(H27="",E27=""),"",G27-I27)</f>
        <v/>
      </c>
      <c r="K27" s="25">
        <f>IF(H27="","— pending",IF(F27="","quoted?",IF(H27&lt;=F27,"✓ hit target",IF(H27&lt;=E27,"~ under quote","✗ over quote"))))</f>
        <v/>
      </c>
      <c r="L27" s="26" t="inlineStr"/>
    </row>
    <row r="28" ht="19" customHeight="1">
      <c r="A28" s="19" t="inlineStr">
        <is>
          <t>Kettlebells (competition steel)</t>
        </is>
      </c>
      <c r="B28" s="20" t="inlineStr">
        <is>
          <t>Kettlebell 24 kg</t>
        </is>
      </c>
      <c r="C28" s="21" t="n">
        <v>4</v>
      </c>
      <c r="D28" s="22" t="inlineStr">
        <is>
          <t>each</t>
        </is>
      </c>
      <c r="E28" s="23" t="n">
        <v>39</v>
      </c>
      <c r="F28" s="13" t="n">
        <v>34.3</v>
      </c>
      <c r="G28" s="24">
        <f>IF(E28="","",C28*E28)</f>
        <v/>
      </c>
      <c r="H28" s="15" t="n"/>
      <c r="I28" s="16">
        <f>IF(H28="","",C28*H28)</f>
        <v/>
      </c>
      <c r="J28" s="24">
        <f>IF(OR(H28="",E28=""),"",G28-I28)</f>
        <v/>
      </c>
      <c r="K28" s="25">
        <f>IF(H28="","— pending",IF(F28="","quoted?",IF(H28&lt;=F28,"✓ hit target",IF(H28&lt;=E28,"~ under quote","✗ over quote"))))</f>
        <v/>
      </c>
      <c r="L28" s="26" t="inlineStr"/>
    </row>
    <row r="29" ht="19" customHeight="1">
      <c r="A29" s="19" t="inlineStr">
        <is>
          <t>Kettlebells (competition steel)</t>
        </is>
      </c>
      <c r="B29" s="20" t="inlineStr">
        <is>
          <t>Kettlebell 28 kg</t>
        </is>
      </c>
      <c r="C29" s="21" t="n">
        <v>2</v>
      </c>
      <c r="D29" s="22" t="inlineStr">
        <is>
          <t>each</t>
        </is>
      </c>
      <c r="E29" s="23" t="n">
        <v>43.5</v>
      </c>
      <c r="F29" s="13" t="n">
        <v>38.3</v>
      </c>
      <c r="G29" s="24">
        <f>IF(E29="","",C29*E29)</f>
        <v/>
      </c>
      <c r="H29" s="15" t="n"/>
      <c r="I29" s="16">
        <f>IF(H29="","",C29*H29)</f>
        <v/>
      </c>
      <c r="J29" s="24">
        <f>IF(OR(H29="",E29=""),"",G29-I29)</f>
        <v/>
      </c>
      <c r="K29" s="25">
        <f>IF(H29="","— pending",IF(F29="","quoted?",IF(H29&lt;=F29,"✓ hit target",IF(H29&lt;=E29,"~ under quote","✗ over quote"))))</f>
        <v/>
      </c>
      <c r="L29" s="26" t="inlineStr"/>
    </row>
    <row r="30" ht="19" customHeight="1">
      <c r="A30" s="19" t="inlineStr">
        <is>
          <t>Kettlebells (competition steel)</t>
        </is>
      </c>
      <c r="B30" s="20" t="inlineStr">
        <is>
          <t>Kettlebell 32 kg</t>
        </is>
      </c>
      <c r="C30" s="21" t="n">
        <v>2</v>
      </c>
      <c r="D30" s="22" t="inlineStr">
        <is>
          <t>each</t>
        </is>
      </c>
      <c r="E30" s="23" t="n">
        <v>50.5</v>
      </c>
      <c r="F30" s="13" t="n">
        <v>44.45</v>
      </c>
      <c r="G30" s="24">
        <f>IF(E30="","",C30*E30)</f>
        <v/>
      </c>
      <c r="H30" s="15" t="n"/>
      <c r="I30" s="16">
        <f>IF(H30="","",C30*H30)</f>
        <v/>
      </c>
      <c r="J30" s="24">
        <f>IF(OR(H30="",E30=""),"",G30-I30)</f>
        <v/>
      </c>
      <c r="K30" s="25">
        <f>IF(H30="","— pending",IF(F30="","quoted?",IF(H30&lt;=F30,"✓ hit target",IF(H30&lt;=E30,"~ under quote","✗ over quote"))))</f>
        <v/>
      </c>
      <c r="L30" s="26" t="inlineStr"/>
    </row>
    <row r="31" ht="19" customHeight="1">
      <c r="A31" s="8" t="inlineStr">
        <is>
          <t>Sandstone Olympic bumpers</t>
        </is>
      </c>
      <c r="B31" s="9" t="inlineStr">
        <is>
          <t>Sandstone bumper 20 kg (pair)</t>
        </is>
      </c>
      <c r="C31" s="10" t="n">
        <v>12</v>
      </c>
      <c r="D31" s="11" t="inlineStr">
        <is>
          <t>pair</t>
        </is>
      </c>
      <c r="E31" s="12" t="n">
        <v>45.2</v>
      </c>
      <c r="F31" s="13" t="n">
        <v>40.8</v>
      </c>
      <c r="G31" s="14">
        <f>IF(E31="","",C31*E31)</f>
        <v/>
      </c>
      <c r="H31" s="15" t="n"/>
      <c r="I31" s="16">
        <f>IF(H31="","",C31*H31)</f>
        <v/>
      </c>
      <c r="J31" s="14">
        <f>IF(OR(H31="",E31=""),"",G31-I31)</f>
        <v/>
      </c>
      <c r="K31" s="17">
        <f>IF(H31="","— pending",IF(F31="","quoted?",IF(H31&lt;=F31,"✓ hit target",IF(H31&lt;=E31,"~ under quote","✗ over quote"))))</f>
        <v/>
      </c>
      <c r="L31" s="18" t="inlineStr"/>
    </row>
    <row r="32" ht="19" customHeight="1">
      <c r="A32" s="8" t="inlineStr">
        <is>
          <t>Sandstone Olympic bumpers</t>
        </is>
      </c>
      <c r="B32" s="9" t="inlineStr">
        <is>
          <t>Sandstone bumper 10 kg (pair)</t>
        </is>
      </c>
      <c r="C32" s="10" t="n">
        <v>16</v>
      </c>
      <c r="D32" s="11" t="inlineStr">
        <is>
          <t>pair</t>
        </is>
      </c>
      <c r="E32" s="12" t="n">
        <v>22.6</v>
      </c>
      <c r="F32" s="13" t="n">
        <v>20.4</v>
      </c>
      <c r="G32" s="14">
        <f>IF(E32="","",C32*E32)</f>
        <v/>
      </c>
      <c r="H32" s="15" t="n"/>
      <c r="I32" s="16">
        <f>IF(H32="","",C32*H32)</f>
        <v/>
      </c>
      <c r="J32" s="14">
        <f>IF(OR(H32="",E32=""),"",G32-I32)</f>
        <v/>
      </c>
      <c r="K32" s="17">
        <f>IF(H32="","— pending",IF(F32="","quoted?",IF(H32&lt;=F32,"✓ hit target",IF(H32&lt;=E32,"~ under quote","✗ over quote"))))</f>
        <v/>
      </c>
      <c r="L32" s="18" t="inlineStr"/>
    </row>
    <row r="33" ht="19" customHeight="1">
      <c r="A33" s="8" t="inlineStr">
        <is>
          <t>Sandstone Olympic bumpers</t>
        </is>
      </c>
      <c r="B33" s="9" t="inlineStr">
        <is>
          <t>Sandstone bumper 5 kg (pair)</t>
        </is>
      </c>
      <c r="C33" s="10" t="n">
        <v>16</v>
      </c>
      <c r="D33" s="11" t="inlineStr">
        <is>
          <t>pair</t>
        </is>
      </c>
      <c r="E33" s="12" t="n">
        <v>11.3</v>
      </c>
      <c r="F33" s="13" t="n">
        <v>10.2</v>
      </c>
      <c r="G33" s="14">
        <f>IF(E33="","",C33*E33)</f>
        <v/>
      </c>
      <c r="H33" s="15" t="n"/>
      <c r="I33" s="16">
        <f>IF(H33="","",C33*H33)</f>
        <v/>
      </c>
      <c r="J33" s="14">
        <f>IF(OR(H33="",E33=""),"",G33-I33)</f>
        <v/>
      </c>
      <c r="K33" s="17">
        <f>IF(H33="","— pending",IF(F33="","quoted?",IF(H33&lt;=F33,"✓ hit target",IF(H33&lt;=E33,"~ under quote","✗ over quote"))))</f>
        <v/>
      </c>
      <c r="L33" s="18" t="inlineStr"/>
    </row>
    <row r="34" ht="19" customHeight="1">
      <c r="A34" s="8" t="inlineStr">
        <is>
          <t>Sandstone Olympic bumpers</t>
        </is>
      </c>
      <c r="B34" s="9" t="inlineStr">
        <is>
          <t>Bumper 2.5 kg (pair) — black, no sandstone</t>
        </is>
      </c>
      <c r="C34" s="10" t="n">
        <v>8</v>
      </c>
      <c r="D34" s="11" t="inlineStr">
        <is>
          <t>pair</t>
        </is>
      </c>
      <c r="E34" s="12" t="n">
        <v>7.88</v>
      </c>
      <c r="F34" s="13" t="n">
        <v>7.1</v>
      </c>
      <c r="G34" s="14">
        <f>IF(E34="","",C34*E34)</f>
        <v/>
      </c>
      <c r="H34" s="15" t="n"/>
      <c r="I34" s="16">
        <f>IF(H34="","",C34*H34)</f>
        <v/>
      </c>
      <c r="J34" s="14">
        <f>IF(OR(H34="",E34=""),"",G34-I34)</f>
        <v/>
      </c>
      <c r="K34" s="17">
        <f>IF(H34="","— pending",IF(F34="","quoted?",IF(H34&lt;=F34,"✓ hit target",IF(H34&lt;=E34,"~ under quote","✗ over quote"))))</f>
        <v/>
      </c>
      <c r="L34" s="18" t="inlineStr"/>
    </row>
    <row r="35" ht="19" customHeight="1">
      <c r="A35" s="8" t="inlineStr">
        <is>
          <t>Sandstone Olympic bumpers</t>
        </is>
      </c>
      <c r="B35" s="9" t="inlineStr">
        <is>
          <t>Bumper 1.25 kg (pair) — black, no sandstone</t>
        </is>
      </c>
      <c r="C35" s="10" t="n">
        <v>8</v>
      </c>
      <c r="D35" s="11" t="inlineStr">
        <is>
          <t>pair</t>
        </is>
      </c>
      <c r="E35" s="12" t="n">
        <v>4.76</v>
      </c>
      <c r="F35" s="13" t="n">
        <v>4.3</v>
      </c>
      <c r="G35" s="14">
        <f>IF(E35="","",C35*E35)</f>
        <v/>
      </c>
      <c r="H35" s="15" t="n"/>
      <c r="I35" s="16">
        <f>IF(H35="","",C35*H35)</f>
        <v/>
      </c>
      <c r="J35" s="14">
        <f>IF(OR(H35="",E35=""),"",G35-I35)</f>
        <v/>
      </c>
      <c r="K35" s="17">
        <f>IF(H35="","— pending",IF(F35="","quoted?",IF(H35&lt;=F35,"✓ hit target",IF(H35&lt;=E35,"~ under quote","✗ over quote"))))</f>
        <v/>
      </c>
      <c r="L35" s="18" t="inlineStr"/>
    </row>
    <row r="36" ht="19" customHeight="1">
      <c r="A36" s="19" t="inlineStr">
        <is>
          <t>Storage racks</t>
        </is>
      </c>
      <c r="B36" s="20" t="inlineStr">
        <is>
          <t>Double-stack dumbbell rack</t>
        </is>
      </c>
      <c r="C36" s="21" t="n">
        <v>2</v>
      </c>
      <c r="D36" s="22" t="inlineStr">
        <is>
          <t>each</t>
        </is>
      </c>
      <c r="E36" s="23" t="n">
        <v>210</v>
      </c>
      <c r="F36" s="13" t="n">
        <v>184.8</v>
      </c>
      <c r="G36" s="24">
        <f>IF(E36="","",C36*E36)</f>
        <v/>
      </c>
      <c r="H36" s="15" t="n"/>
      <c r="I36" s="16">
        <f>IF(H36="","",C36*H36)</f>
        <v/>
      </c>
      <c r="J36" s="24">
        <f>IF(OR(H36="",E36=""),"",G36-I36)</f>
        <v/>
      </c>
      <c r="K36" s="25">
        <f>IF(H36="","— pending",IF(F36="","quoted?",IF(H36&lt;=F36,"✓ hit target",IF(H36&lt;=E36,"~ under quote","✗ over quote"))))</f>
        <v/>
      </c>
      <c r="L36" s="26" t="inlineStr"/>
    </row>
    <row r="37" ht="19" customHeight="1">
      <c r="A37" s="19" t="inlineStr">
        <is>
          <t>Storage racks</t>
        </is>
      </c>
      <c r="B37" s="20" t="inlineStr">
        <is>
          <t>Dumbbell tree rack (1–10 kg)</t>
        </is>
      </c>
      <c r="C37" s="21" t="n">
        <v>2</v>
      </c>
      <c r="D37" s="22" t="inlineStr">
        <is>
          <t>each</t>
        </is>
      </c>
      <c r="E37" s="23" t="n">
        <v>62</v>
      </c>
      <c r="F37" s="13" t="n">
        <v>54.55</v>
      </c>
      <c r="G37" s="24">
        <f>IF(E37="","",C37*E37)</f>
        <v/>
      </c>
      <c r="H37" s="15" t="n"/>
      <c r="I37" s="16">
        <f>IF(H37="","",C37*H37)</f>
        <v/>
      </c>
      <c r="J37" s="24">
        <f>IF(OR(H37="",E37=""),"",G37-I37)</f>
        <v/>
      </c>
      <c r="K37" s="25">
        <f>IF(H37="","— pending",IF(F37="","quoted?",IF(H37&lt;=F37,"✓ hit target",IF(H37&lt;=E37,"~ under quote","✗ over quote"))))</f>
        <v/>
      </c>
      <c r="L37" s="26" t="inlineStr"/>
    </row>
    <row r="38" ht="19" customHeight="1">
      <c r="A38" s="19" t="inlineStr">
        <is>
          <t>Storage racks</t>
        </is>
      </c>
      <c r="B38" s="20" t="inlineStr">
        <is>
          <t>Small barbell rack (10 bars)</t>
        </is>
      </c>
      <c r="C38" s="21" t="n">
        <v>1</v>
      </c>
      <c r="D38" s="22" t="inlineStr">
        <is>
          <t>each</t>
        </is>
      </c>
      <c r="E38" s="23" t="n">
        <v>120</v>
      </c>
      <c r="F38" s="13" t="n">
        <v>105.6</v>
      </c>
      <c r="G38" s="24">
        <f>IF(E38="","",C38*E38)</f>
        <v/>
      </c>
      <c r="H38" s="15" t="n"/>
      <c r="I38" s="16">
        <f>IF(H38="","",C38*H38)</f>
        <v/>
      </c>
      <c r="J38" s="24">
        <f>IF(OR(H38="",E38=""),"",G38-I38)</f>
        <v/>
      </c>
      <c r="K38" s="25">
        <f>IF(H38="","— pending",IF(F38="","quoted?",IF(H38&lt;=F38,"✓ hit target",IF(H38&lt;=E38,"~ under quote","✗ over quote"))))</f>
        <v/>
      </c>
      <c r="L38" s="26" t="inlineStr"/>
    </row>
    <row r="39" ht="19" customHeight="1">
      <c r="A39" s="19" t="inlineStr">
        <is>
          <t>Storage racks</t>
        </is>
      </c>
      <c r="B39" s="20" t="inlineStr">
        <is>
          <t>Olympic weight tree</t>
        </is>
      </c>
      <c r="C39" s="21" t="n">
        <v>3</v>
      </c>
      <c r="D39" s="22" t="inlineStr">
        <is>
          <t>each</t>
        </is>
      </c>
      <c r="E39" s="23" t="n">
        <v>79</v>
      </c>
      <c r="F39" s="13" t="n">
        <v>69.5</v>
      </c>
      <c r="G39" s="24">
        <f>IF(E39="","",C39*E39)</f>
        <v/>
      </c>
      <c r="H39" s="15" t="n"/>
      <c r="I39" s="16">
        <f>IF(H39="","",C39*H39)</f>
        <v/>
      </c>
      <c r="J39" s="24">
        <f>IF(OR(H39="",E39=""),"",G39-I39)</f>
        <v/>
      </c>
      <c r="K39" s="25">
        <f>IF(H39="","— pending",IF(F39="","quoted?",IF(H39&lt;=F39,"✓ hit target",IF(H39&lt;=E39,"~ under quote","✗ over quote"))))</f>
        <v/>
      </c>
      <c r="L39" s="26" t="inlineStr"/>
    </row>
    <row r="40" ht="19" customHeight="1">
      <c r="A40" s="8" t="inlineStr">
        <is>
          <t>CPU dumbbells 1–10 kg · stone</t>
        </is>
      </c>
      <c r="B40" s="9" t="inlineStr">
        <is>
          <t>CPU dumbbell 1 kg (pair)</t>
        </is>
      </c>
      <c r="C40" s="10" t="n">
        <v>2</v>
      </c>
      <c r="D40" s="11" t="inlineStr">
        <is>
          <t>pair</t>
        </is>
      </c>
      <c r="E40" s="12" t="n">
        <v>5.9</v>
      </c>
      <c r="F40" s="13" t="n">
        <v>5.4</v>
      </c>
      <c r="G40" s="14">
        <f>IF(E40="","",C40*E40)</f>
        <v/>
      </c>
      <c r="H40" s="15" t="n"/>
      <c r="I40" s="16">
        <f>IF(H40="","",C40*H40)</f>
        <v/>
      </c>
      <c r="J40" s="14">
        <f>IF(OR(H40="",E40=""),"",G40-I40)</f>
        <v/>
      </c>
      <c r="K40" s="17">
        <f>IF(H40="","— pending",IF(F40="","quoted?",IF(H40&lt;=F40,"✓ hit target",IF(H40&lt;=E40,"~ under quote","✗ over quote"))))</f>
        <v/>
      </c>
      <c r="L40" s="18" t="inlineStr"/>
    </row>
    <row r="41" ht="19" customHeight="1">
      <c r="A41" s="8" t="inlineStr">
        <is>
          <t>CPU dumbbells 1–10 kg · stone</t>
        </is>
      </c>
      <c r="B41" s="9" t="inlineStr">
        <is>
          <t>CPU dumbbell 2 kg (pair)</t>
        </is>
      </c>
      <c r="C41" s="10" t="n">
        <v>2</v>
      </c>
      <c r="D41" s="11" t="inlineStr">
        <is>
          <t>pair</t>
        </is>
      </c>
      <c r="E41" s="12" t="n">
        <v>11.8</v>
      </c>
      <c r="F41" s="13" t="n">
        <v>10.8</v>
      </c>
      <c r="G41" s="14">
        <f>IF(E41="","",C41*E41)</f>
        <v/>
      </c>
      <c r="H41" s="15" t="n"/>
      <c r="I41" s="16">
        <f>IF(H41="","",C41*H41)</f>
        <v/>
      </c>
      <c r="J41" s="14">
        <f>IF(OR(H41="",E41=""),"",G41-I41)</f>
        <v/>
      </c>
      <c r="K41" s="17">
        <f>IF(H41="","— pending",IF(F41="","quoted?",IF(H41&lt;=F41,"✓ hit target",IF(H41&lt;=E41,"~ under quote","✗ over quote"))))</f>
        <v/>
      </c>
      <c r="L41" s="18" t="inlineStr"/>
    </row>
    <row r="42" ht="19" customHeight="1">
      <c r="A42" s="8" t="inlineStr">
        <is>
          <t>CPU dumbbells 1–10 kg · stone</t>
        </is>
      </c>
      <c r="B42" s="9" t="inlineStr">
        <is>
          <t>CPU dumbbell 3 kg (pair)</t>
        </is>
      </c>
      <c r="C42" s="10" t="n">
        <v>2</v>
      </c>
      <c r="D42" s="11" t="inlineStr">
        <is>
          <t>pair</t>
        </is>
      </c>
      <c r="E42" s="12" t="n">
        <v>17.7</v>
      </c>
      <c r="F42" s="13" t="n">
        <v>16.2</v>
      </c>
      <c r="G42" s="14">
        <f>IF(E42="","",C42*E42)</f>
        <v/>
      </c>
      <c r="H42" s="15" t="n"/>
      <c r="I42" s="16">
        <f>IF(H42="","",C42*H42)</f>
        <v/>
      </c>
      <c r="J42" s="14">
        <f>IF(OR(H42="",E42=""),"",G42-I42)</f>
        <v/>
      </c>
      <c r="K42" s="17">
        <f>IF(H42="","— pending",IF(F42="","quoted?",IF(H42&lt;=F42,"✓ hit target",IF(H42&lt;=E42,"~ under quote","✗ over quote"))))</f>
        <v/>
      </c>
      <c r="L42" s="18" t="inlineStr"/>
    </row>
    <row r="43" ht="19" customHeight="1">
      <c r="A43" s="8" t="inlineStr">
        <is>
          <t>CPU dumbbells 1–10 kg · stone</t>
        </is>
      </c>
      <c r="B43" s="9" t="inlineStr">
        <is>
          <t>CPU dumbbell 4 kg (pair)</t>
        </is>
      </c>
      <c r="C43" s="10" t="n">
        <v>2</v>
      </c>
      <c r="D43" s="11" t="inlineStr">
        <is>
          <t>pair</t>
        </is>
      </c>
      <c r="E43" s="12" t="n">
        <v>23.6</v>
      </c>
      <c r="F43" s="13" t="n">
        <v>21.6</v>
      </c>
      <c r="G43" s="14">
        <f>IF(E43="","",C43*E43)</f>
        <v/>
      </c>
      <c r="H43" s="15" t="n"/>
      <c r="I43" s="16">
        <f>IF(H43="","",C43*H43)</f>
        <v/>
      </c>
      <c r="J43" s="14">
        <f>IF(OR(H43="",E43=""),"",G43-I43)</f>
        <v/>
      </c>
      <c r="K43" s="17">
        <f>IF(H43="","— pending",IF(F43="","quoted?",IF(H43&lt;=F43,"✓ hit target",IF(H43&lt;=E43,"~ under quote","✗ over quote"))))</f>
        <v/>
      </c>
      <c r="L43" s="18" t="inlineStr"/>
    </row>
    <row r="44" ht="19" customHeight="1">
      <c r="A44" s="8" t="inlineStr">
        <is>
          <t>CPU dumbbells 1–10 kg · stone</t>
        </is>
      </c>
      <c r="B44" s="9" t="inlineStr">
        <is>
          <t>CPU dumbbell 5 kg (pair)</t>
        </is>
      </c>
      <c r="C44" s="10" t="n">
        <v>2</v>
      </c>
      <c r="D44" s="11" t="inlineStr">
        <is>
          <t>pair</t>
        </is>
      </c>
      <c r="E44" s="12" t="n">
        <v>29.5</v>
      </c>
      <c r="F44" s="13" t="n">
        <v>27</v>
      </c>
      <c r="G44" s="14">
        <f>IF(E44="","",C44*E44)</f>
        <v/>
      </c>
      <c r="H44" s="15" t="n"/>
      <c r="I44" s="16">
        <f>IF(H44="","",C44*H44)</f>
        <v/>
      </c>
      <c r="J44" s="14">
        <f>IF(OR(H44="",E44=""),"",G44-I44)</f>
        <v/>
      </c>
      <c r="K44" s="17">
        <f>IF(H44="","— pending",IF(F44="","quoted?",IF(H44&lt;=F44,"✓ hit target",IF(H44&lt;=E44,"~ under quote","✗ over quote"))))</f>
        <v/>
      </c>
      <c r="L44" s="18" t="inlineStr"/>
    </row>
    <row r="45" ht="19" customHeight="1">
      <c r="A45" s="8" t="inlineStr">
        <is>
          <t>CPU dumbbells 1–10 kg · stone</t>
        </is>
      </c>
      <c r="B45" s="9" t="inlineStr">
        <is>
          <t>CPU dumbbell 6 kg (pair)</t>
        </is>
      </c>
      <c r="C45" s="10" t="n">
        <v>2</v>
      </c>
      <c r="D45" s="11" t="inlineStr">
        <is>
          <t>pair</t>
        </is>
      </c>
      <c r="E45" s="12" t="n">
        <v>35.4</v>
      </c>
      <c r="F45" s="13" t="n">
        <v>32.4</v>
      </c>
      <c r="G45" s="14">
        <f>IF(E45="","",C45*E45)</f>
        <v/>
      </c>
      <c r="H45" s="15" t="n"/>
      <c r="I45" s="16">
        <f>IF(H45="","",C45*H45)</f>
        <v/>
      </c>
      <c r="J45" s="14">
        <f>IF(OR(H45="",E45=""),"",G45-I45)</f>
        <v/>
      </c>
      <c r="K45" s="17">
        <f>IF(H45="","— pending",IF(F45="","quoted?",IF(H45&lt;=F45,"✓ hit target",IF(H45&lt;=E45,"~ under quote","✗ over quote"))))</f>
        <v/>
      </c>
      <c r="L45" s="18" t="inlineStr"/>
    </row>
    <row r="46" ht="19" customHeight="1">
      <c r="A46" s="8" t="inlineStr">
        <is>
          <t>CPU dumbbells 1–10 kg · stone</t>
        </is>
      </c>
      <c r="B46" s="9" t="inlineStr">
        <is>
          <t>CPU dumbbell 7 kg (pair)</t>
        </is>
      </c>
      <c r="C46" s="10" t="n">
        <v>2</v>
      </c>
      <c r="D46" s="11" t="inlineStr">
        <is>
          <t>pair</t>
        </is>
      </c>
      <c r="E46" s="12" t="n">
        <v>41.3</v>
      </c>
      <c r="F46" s="13" t="n">
        <v>37.8</v>
      </c>
      <c r="G46" s="14">
        <f>IF(E46="","",C46*E46)</f>
        <v/>
      </c>
      <c r="H46" s="15" t="n"/>
      <c r="I46" s="16">
        <f>IF(H46="","",C46*H46)</f>
        <v/>
      </c>
      <c r="J46" s="14">
        <f>IF(OR(H46="",E46=""),"",G46-I46)</f>
        <v/>
      </c>
      <c r="K46" s="17">
        <f>IF(H46="","— pending",IF(F46="","quoted?",IF(H46&lt;=F46,"✓ hit target",IF(H46&lt;=E46,"~ under quote","✗ over quote"))))</f>
        <v/>
      </c>
      <c r="L46" s="18" t="inlineStr"/>
    </row>
    <row r="47" ht="19" customHeight="1">
      <c r="A47" s="8" t="inlineStr">
        <is>
          <t>CPU dumbbells 1–10 kg · stone</t>
        </is>
      </c>
      <c r="B47" s="9" t="inlineStr">
        <is>
          <t>CPU dumbbell 8 kg (pair)</t>
        </is>
      </c>
      <c r="C47" s="10" t="n">
        <v>2</v>
      </c>
      <c r="D47" s="11" t="inlineStr">
        <is>
          <t>pair</t>
        </is>
      </c>
      <c r="E47" s="12" t="n">
        <v>47.2</v>
      </c>
      <c r="F47" s="13" t="n">
        <v>43.2</v>
      </c>
      <c r="G47" s="14">
        <f>IF(E47="","",C47*E47)</f>
        <v/>
      </c>
      <c r="H47" s="15" t="n"/>
      <c r="I47" s="16">
        <f>IF(H47="","",C47*H47)</f>
        <v/>
      </c>
      <c r="J47" s="14">
        <f>IF(OR(H47="",E47=""),"",G47-I47)</f>
        <v/>
      </c>
      <c r="K47" s="17">
        <f>IF(H47="","— pending",IF(F47="","quoted?",IF(H47&lt;=F47,"✓ hit target",IF(H47&lt;=E47,"~ under quote","✗ over quote"))))</f>
        <v/>
      </c>
      <c r="L47" s="18" t="inlineStr"/>
    </row>
    <row r="48" ht="19" customHeight="1">
      <c r="A48" s="8" t="inlineStr">
        <is>
          <t>CPU dumbbells 1–10 kg · stone</t>
        </is>
      </c>
      <c r="B48" s="9" t="inlineStr">
        <is>
          <t>CPU dumbbell 9 kg (pair)</t>
        </is>
      </c>
      <c r="C48" s="10" t="n">
        <v>2</v>
      </c>
      <c r="D48" s="11" t="inlineStr">
        <is>
          <t>pair</t>
        </is>
      </c>
      <c r="E48" s="12" t="n">
        <v>53.1</v>
      </c>
      <c r="F48" s="13" t="n">
        <v>48.6</v>
      </c>
      <c r="G48" s="14">
        <f>IF(E48="","",C48*E48)</f>
        <v/>
      </c>
      <c r="H48" s="15" t="n"/>
      <c r="I48" s="16">
        <f>IF(H48="","",C48*H48)</f>
        <v/>
      </c>
      <c r="J48" s="14">
        <f>IF(OR(H48="",E48=""),"",G48-I48)</f>
        <v/>
      </c>
      <c r="K48" s="17">
        <f>IF(H48="","— pending",IF(F48="","quoted?",IF(H48&lt;=F48,"✓ hit target",IF(H48&lt;=E48,"~ under quote","✗ over quote"))))</f>
        <v/>
      </c>
      <c r="L48" s="18" t="inlineStr"/>
    </row>
    <row r="49" ht="19" customHeight="1">
      <c r="A49" s="8" t="inlineStr">
        <is>
          <t>CPU dumbbells 1–10 kg · stone</t>
        </is>
      </c>
      <c r="B49" s="9" t="inlineStr">
        <is>
          <t>CPU dumbbell 10 kg (pair)</t>
        </is>
      </c>
      <c r="C49" s="10" t="n">
        <v>2</v>
      </c>
      <c r="D49" s="11" t="inlineStr">
        <is>
          <t>pair</t>
        </is>
      </c>
      <c r="E49" s="12" t="n">
        <v>59</v>
      </c>
      <c r="F49" s="13" t="n">
        <v>54</v>
      </c>
      <c r="G49" s="14">
        <f>IF(E49="","",C49*E49)</f>
        <v/>
      </c>
      <c r="H49" s="15" t="n"/>
      <c r="I49" s="16">
        <f>IF(H49="","",C49*H49)</f>
        <v/>
      </c>
      <c r="J49" s="14">
        <f>IF(OR(H49="",E49=""),"",G49-I49)</f>
        <v/>
      </c>
      <c r="K49" s="17">
        <f>IF(H49="","— pending",IF(F49="","quoted?",IF(H49&lt;=F49,"✓ hit target",IF(H49&lt;=E49,"~ under quote","✗ over quote"))))</f>
        <v/>
      </c>
      <c r="L49" s="18" t="inlineStr"/>
    </row>
    <row r="50" ht="19" customHeight="1">
      <c r="A50" s="19" t="inlineStr">
        <is>
          <t>CPU dumbbells 12.5–60 kg · stone</t>
        </is>
      </c>
      <c r="B50" s="20" t="inlineStr">
        <is>
          <t>CPU dumbbell 12.5 kg (pair)</t>
        </is>
      </c>
      <c r="C50" s="21" t="n">
        <v>2</v>
      </c>
      <c r="D50" s="22" t="inlineStr">
        <is>
          <t>pair</t>
        </is>
      </c>
      <c r="E50" s="23" t="n">
        <v>54.75</v>
      </c>
      <c r="F50" s="13" t="n">
        <v>47.5</v>
      </c>
      <c r="G50" s="24">
        <f>IF(E50="","",C50*E50)</f>
        <v/>
      </c>
      <c r="H50" s="15" t="n"/>
      <c r="I50" s="16">
        <f>IF(H50="","",C50*H50)</f>
        <v/>
      </c>
      <c r="J50" s="24">
        <f>IF(OR(H50="",E50=""),"",G50-I50)</f>
        <v/>
      </c>
      <c r="K50" s="25">
        <f>IF(H50="","— pending",IF(F50="","quoted?",IF(H50&lt;=F50,"✓ hit target",IF(H50&lt;=E50,"~ under quote","✗ over quote"))))</f>
        <v/>
      </c>
      <c r="L50" s="26" t="inlineStr"/>
    </row>
    <row r="51" ht="19" customHeight="1">
      <c r="A51" s="19" t="inlineStr">
        <is>
          <t>CPU dumbbells 12.5–60 kg · stone</t>
        </is>
      </c>
      <c r="B51" s="20" t="inlineStr">
        <is>
          <t>CPU dumbbell 15 kg (pair)</t>
        </is>
      </c>
      <c r="C51" s="21" t="n">
        <v>2</v>
      </c>
      <c r="D51" s="22" t="inlineStr">
        <is>
          <t>pair</t>
        </is>
      </c>
      <c r="E51" s="23" t="n">
        <v>65.7</v>
      </c>
      <c r="F51" s="13" t="n">
        <v>57</v>
      </c>
      <c r="G51" s="24">
        <f>IF(E51="","",C51*E51)</f>
        <v/>
      </c>
      <c r="H51" s="15" t="n"/>
      <c r="I51" s="16">
        <f>IF(H51="","",C51*H51)</f>
        <v/>
      </c>
      <c r="J51" s="24">
        <f>IF(OR(H51="",E51=""),"",G51-I51)</f>
        <v/>
      </c>
      <c r="K51" s="25">
        <f>IF(H51="","— pending",IF(F51="","quoted?",IF(H51&lt;=F51,"✓ hit target",IF(H51&lt;=E51,"~ under quote","✗ over quote"))))</f>
        <v/>
      </c>
      <c r="L51" s="26" t="inlineStr"/>
    </row>
    <row r="52" ht="19" customHeight="1">
      <c r="A52" s="19" t="inlineStr">
        <is>
          <t>CPU dumbbells 12.5–60 kg · stone</t>
        </is>
      </c>
      <c r="B52" s="20" t="inlineStr">
        <is>
          <t>CPU dumbbell 17.5 kg (pair)</t>
        </is>
      </c>
      <c r="C52" s="21" t="n">
        <v>1</v>
      </c>
      <c r="D52" s="22" t="inlineStr">
        <is>
          <t>pair</t>
        </is>
      </c>
      <c r="E52" s="23" t="n">
        <v>76.65000000000001</v>
      </c>
      <c r="F52" s="13" t="n">
        <v>66.5</v>
      </c>
      <c r="G52" s="24">
        <f>IF(E52="","",C52*E52)</f>
        <v/>
      </c>
      <c r="H52" s="15" t="n"/>
      <c r="I52" s="16">
        <f>IF(H52="","",C52*H52)</f>
        <v/>
      </c>
      <c r="J52" s="24">
        <f>IF(OR(H52="",E52=""),"",G52-I52)</f>
        <v/>
      </c>
      <c r="K52" s="25">
        <f>IF(H52="","— pending",IF(F52="","quoted?",IF(H52&lt;=F52,"✓ hit target",IF(H52&lt;=E52,"~ under quote","✗ over quote"))))</f>
        <v/>
      </c>
      <c r="L52" s="26" t="inlineStr"/>
    </row>
    <row r="53" ht="19" customHeight="1">
      <c r="A53" s="19" t="inlineStr">
        <is>
          <t>CPU dumbbells 12.5–60 kg · stone</t>
        </is>
      </c>
      <c r="B53" s="20" t="inlineStr">
        <is>
          <t>CPU dumbbell 20 kg (pair)</t>
        </is>
      </c>
      <c r="C53" s="21" t="n">
        <v>1</v>
      </c>
      <c r="D53" s="22" t="inlineStr">
        <is>
          <t>pair</t>
        </is>
      </c>
      <c r="E53" s="23" t="n">
        <v>87.59999999999999</v>
      </c>
      <c r="F53" s="13" t="n">
        <v>76</v>
      </c>
      <c r="G53" s="24">
        <f>IF(E53="","",C53*E53)</f>
        <v/>
      </c>
      <c r="H53" s="15" t="n"/>
      <c r="I53" s="16">
        <f>IF(H53="","",C53*H53)</f>
        <v/>
      </c>
      <c r="J53" s="24">
        <f>IF(OR(H53="",E53=""),"",G53-I53)</f>
        <v/>
      </c>
      <c r="K53" s="25">
        <f>IF(H53="","— pending",IF(F53="","quoted?",IF(H53&lt;=F53,"✓ hit target",IF(H53&lt;=E53,"~ under quote","✗ over quote"))))</f>
        <v/>
      </c>
      <c r="L53" s="26" t="inlineStr"/>
    </row>
    <row r="54" ht="19" customHeight="1">
      <c r="A54" s="19" t="inlineStr">
        <is>
          <t>CPU dumbbells 12.5–60 kg · stone</t>
        </is>
      </c>
      <c r="B54" s="20" t="inlineStr">
        <is>
          <t>CPU dumbbell 22.5 kg (pair)</t>
        </is>
      </c>
      <c r="C54" s="21" t="n">
        <v>1</v>
      </c>
      <c r="D54" s="22" t="inlineStr">
        <is>
          <t>pair</t>
        </is>
      </c>
      <c r="E54" s="23" t="n">
        <v>98.55</v>
      </c>
      <c r="F54" s="13" t="n">
        <v>85.5</v>
      </c>
      <c r="G54" s="24">
        <f>IF(E54="","",C54*E54)</f>
        <v/>
      </c>
      <c r="H54" s="15" t="n"/>
      <c r="I54" s="16">
        <f>IF(H54="","",C54*H54)</f>
        <v/>
      </c>
      <c r="J54" s="24">
        <f>IF(OR(H54="",E54=""),"",G54-I54)</f>
        <v/>
      </c>
      <c r="K54" s="25">
        <f>IF(H54="","— pending",IF(F54="","quoted?",IF(H54&lt;=F54,"✓ hit target",IF(H54&lt;=E54,"~ under quote","✗ over quote"))))</f>
        <v/>
      </c>
      <c r="L54" s="26" t="inlineStr"/>
    </row>
    <row r="55" ht="19" customHeight="1">
      <c r="A55" s="19" t="inlineStr">
        <is>
          <t>CPU dumbbells 12.5–60 kg · stone</t>
        </is>
      </c>
      <c r="B55" s="20" t="inlineStr">
        <is>
          <t>CPU dumbbell 25 kg (pair)</t>
        </is>
      </c>
      <c r="C55" s="21" t="n">
        <v>1</v>
      </c>
      <c r="D55" s="22" t="inlineStr">
        <is>
          <t>pair</t>
        </is>
      </c>
      <c r="E55" s="23" t="n">
        <v>109.5</v>
      </c>
      <c r="F55" s="13" t="n">
        <v>95</v>
      </c>
      <c r="G55" s="24">
        <f>IF(E55="","",C55*E55)</f>
        <v/>
      </c>
      <c r="H55" s="15" t="n"/>
      <c r="I55" s="16">
        <f>IF(H55="","",C55*H55)</f>
        <v/>
      </c>
      <c r="J55" s="24">
        <f>IF(OR(H55="",E55=""),"",G55-I55)</f>
        <v/>
      </c>
      <c r="K55" s="25">
        <f>IF(H55="","— pending",IF(F55="","quoted?",IF(H55&lt;=F55,"✓ hit target",IF(H55&lt;=E55,"~ under quote","✗ over quote"))))</f>
        <v/>
      </c>
      <c r="L55" s="26" t="inlineStr"/>
    </row>
    <row r="56" ht="19" customHeight="1">
      <c r="A56" s="19" t="inlineStr">
        <is>
          <t>CPU dumbbells 12.5–60 kg · stone</t>
        </is>
      </c>
      <c r="B56" s="20" t="inlineStr">
        <is>
          <t>CPU dumbbell 27.5 kg (pair)</t>
        </is>
      </c>
      <c r="C56" s="21" t="n">
        <v>1</v>
      </c>
      <c r="D56" s="22" t="inlineStr">
        <is>
          <t>pair</t>
        </is>
      </c>
      <c r="E56" s="23" t="n">
        <v>120.45</v>
      </c>
      <c r="F56" s="13" t="n">
        <v>104.5</v>
      </c>
      <c r="G56" s="24">
        <f>IF(E56="","",C56*E56)</f>
        <v/>
      </c>
      <c r="H56" s="15" t="n"/>
      <c r="I56" s="16">
        <f>IF(H56="","",C56*H56)</f>
        <v/>
      </c>
      <c r="J56" s="24">
        <f>IF(OR(H56="",E56=""),"",G56-I56)</f>
        <v/>
      </c>
      <c r="K56" s="25">
        <f>IF(H56="","— pending",IF(F56="","quoted?",IF(H56&lt;=F56,"✓ hit target",IF(H56&lt;=E56,"~ under quote","✗ over quote"))))</f>
        <v/>
      </c>
      <c r="L56" s="26" t="inlineStr"/>
    </row>
    <row r="57" ht="19" customHeight="1">
      <c r="A57" s="19" t="inlineStr">
        <is>
          <t>CPU dumbbells 12.5–60 kg · stone</t>
        </is>
      </c>
      <c r="B57" s="20" t="inlineStr">
        <is>
          <t>CPU dumbbell 30 kg (pair)</t>
        </is>
      </c>
      <c r="C57" s="21" t="n">
        <v>1</v>
      </c>
      <c r="D57" s="22" t="inlineStr">
        <is>
          <t>pair</t>
        </is>
      </c>
      <c r="E57" s="23" t="n">
        <v>131.4</v>
      </c>
      <c r="F57" s="13" t="n">
        <v>114</v>
      </c>
      <c r="G57" s="24">
        <f>IF(E57="","",C57*E57)</f>
        <v/>
      </c>
      <c r="H57" s="15" t="n"/>
      <c r="I57" s="16">
        <f>IF(H57="","",C57*H57)</f>
        <v/>
      </c>
      <c r="J57" s="24">
        <f>IF(OR(H57="",E57=""),"",G57-I57)</f>
        <v/>
      </c>
      <c r="K57" s="25">
        <f>IF(H57="","— pending",IF(F57="","quoted?",IF(H57&lt;=F57,"✓ hit target",IF(H57&lt;=E57,"~ under quote","✗ over quote"))))</f>
        <v/>
      </c>
      <c r="L57" s="26" t="inlineStr"/>
    </row>
    <row r="58" ht="19" customHeight="1">
      <c r="A58" s="19" t="inlineStr">
        <is>
          <t>CPU dumbbells 12.5–60 kg · stone</t>
        </is>
      </c>
      <c r="B58" s="20" t="inlineStr">
        <is>
          <t>CPU dumbbell 32.5 kg (pair)</t>
        </is>
      </c>
      <c r="C58" s="21" t="n">
        <v>1</v>
      </c>
      <c r="D58" s="22" t="inlineStr">
        <is>
          <t>pair</t>
        </is>
      </c>
      <c r="E58" s="23" t="n">
        <v>142.35</v>
      </c>
      <c r="F58" s="13" t="n">
        <v>123.5</v>
      </c>
      <c r="G58" s="24">
        <f>IF(E58="","",C58*E58)</f>
        <v/>
      </c>
      <c r="H58" s="15" t="n"/>
      <c r="I58" s="16">
        <f>IF(H58="","",C58*H58)</f>
        <v/>
      </c>
      <c r="J58" s="24">
        <f>IF(OR(H58="",E58=""),"",G58-I58)</f>
        <v/>
      </c>
      <c r="K58" s="25">
        <f>IF(H58="","— pending",IF(F58="","quoted?",IF(H58&lt;=F58,"✓ hit target",IF(H58&lt;=E58,"~ under quote","✗ over quote"))))</f>
        <v/>
      </c>
      <c r="L58" s="26" t="inlineStr"/>
    </row>
    <row r="59" ht="19" customHeight="1">
      <c r="A59" s="19" t="inlineStr">
        <is>
          <t>CPU dumbbells 12.5–60 kg · stone</t>
        </is>
      </c>
      <c r="B59" s="20" t="inlineStr">
        <is>
          <t>CPU dumbbell 35 kg (pair)</t>
        </is>
      </c>
      <c r="C59" s="21" t="n">
        <v>1</v>
      </c>
      <c r="D59" s="22" t="inlineStr">
        <is>
          <t>pair</t>
        </is>
      </c>
      <c r="E59" s="23" t="n">
        <v>153.3</v>
      </c>
      <c r="F59" s="13" t="n">
        <v>133</v>
      </c>
      <c r="G59" s="24">
        <f>IF(E59="","",C59*E59)</f>
        <v/>
      </c>
      <c r="H59" s="15" t="n"/>
      <c r="I59" s="16">
        <f>IF(H59="","",C59*H59)</f>
        <v/>
      </c>
      <c r="J59" s="24">
        <f>IF(OR(H59="",E59=""),"",G59-I59)</f>
        <v/>
      </c>
      <c r="K59" s="25">
        <f>IF(H59="","— pending",IF(F59="","quoted?",IF(H59&lt;=F59,"✓ hit target",IF(H59&lt;=E59,"~ under quote","✗ over quote"))))</f>
        <v/>
      </c>
      <c r="L59" s="26" t="inlineStr"/>
    </row>
    <row r="60" ht="19" customHeight="1">
      <c r="A60" s="19" t="inlineStr">
        <is>
          <t>CPU dumbbells 12.5–60 kg · stone</t>
        </is>
      </c>
      <c r="B60" s="20" t="inlineStr">
        <is>
          <t>CPU dumbbell 37.5 kg (pair)</t>
        </is>
      </c>
      <c r="C60" s="21" t="n">
        <v>1</v>
      </c>
      <c r="D60" s="22" t="inlineStr">
        <is>
          <t>pair</t>
        </is>
      </c>
      <c r="E60" s="23" t="n">
        <v>164.25</v>
      </c>
      <c r="F60" s="13" t="n">
        <v>142.5</v>
      </c>
      <c r="G60" s="24">
        <f>IF(E60="","",C60*E60)</f>
        <v/>
      </c>
      <c r="H60" s="15" t="n"/>
      <c r="I60" s="16">
        <f>IF(H60="","",C60*H60)</f>
        <v/>
      </c>
      <c r="J60" s="24">
        <f>IF(OR(H60="",E60=""),"",G60-I60)</f>
        <v/>
      </c>
      <c r="K60" s="25">
        <f>IF(H60="","— pending",IF(F60="","quoted?",IF(H60&lt;=F60,"✓ hit target",IF(H60&lt;=E60,"~ under quote","✗ over quote"))))</f>
        <v/>
      </c>
      <c r="L60" s="26" t="inlineStr"/>
    </row>
    <row r="61" ht="19" customHeight="1">
      <c r="A61" s="19" t="inlineStr">
        <is>
          <t>CPU dumbbells 12.5–60 kg · stone</t>
        </is>
      </c>
      <c r="B61" s="20" t="inlineStr">
        <is>
          <t>CPU dumbbell 40 kg (pair)</t>
        </is>
      </c>
      <c r="C61" s="21" t="n">
        <v>1</v>
      </c>
      <c r="D61" s="22" t="inlineStr">
        <is>
          <t>pair</t>
        </is>
      </c>
      <c r="E61" s="23" t="n">
        <v>175.2</v>
      </c>
      <c r="F61" s="13" t="n">
        <v>152</v>
      </c>
      <c r="G61" s="24">
        <f>IF(E61="","",C61*E61)</f>
        <v/>
      </c>
      <c r="H61" s="15" t="n"/>
      <c r="I61" s="16">
        <f>IF(H61="","",C61*H61)</f>
        <v/>
      </c>
      <c r="J61" s="24">
        <f>IF(OR(H61="",E61=""),"",G61-I61)</f>
        <v/>
      </c>
      <c r="K61" s="25">
        <f>IF(H61="","— pending",IF(F61="","quoted?",IF(H61&lt;=F61,"✓ hit target",IF(H61&lt;=E61,"~ under quote","✗ over quote"))))</f>
        <v/>
      </c>
      <c r="L61" s="26" t="inlineStr"/>
    </row>
    <row r="62" ht="19" customHeight="1">
      <c r="A62" s="19" t="inlineStr">
        <is>
          <t>CPU dumbbells 12.5–60 kg · stone</t>
        </is>
      </c>
      <c r="B62" s="20" t="inlineStr">
        <is>
          <t>CPU dumbbell 42.5 kg (pair)</t>
        </is>
      </c>
      <c r="C62" s="21" t="n">
        <v>1</v>
      </c>
      <c r="D62" s="22" t="inlineStr">
        <is>
          <t>pair</t>
        </is>
      </c>
      <c r="E62" s="23" t="n">
        <v>186.15</v>
      </c>
      <c r="F62" s="13" t="n">
        <v>161.5</v>
      </c>
      <c r="G62" s="24">
        <f>IF(E62="","",C62*E62)</f>
        <v/>
      </c>
      <c r="H62" s="15" t="n"/>
      <c r="I62" s="16">
        <f>IF(H62="","",C62*H62)</f>
        <v/>
      </c>
      <c r="J62" s="24">
        <f>IF(OR(H62="",E62=""),"",G62-I62)</f>
        <v/>
      </c>
      <c r="K62" s="25">
        <f>IF(H62="","— pending",IF(F62="","quoted?",IF(H62&lt;=F62,"✓ hit target",IF(H62&lt;=E62,"~ under quote","✗ over quote"))))</f>
        <v/>
      </c>
      <c r="L62" s="26" t="inlineStr"/>
    </row>
    <row r="63" ht="19" customHeight="1">
      <c r="A63" s="19" t="inlineStr">
        <is>
          <t>CPU dumbbells 12.5–60 kg · stone</t>
        </is>
      </c>
      <c r="B63" s="20" t="inlineStr">
        <is>
          <t>CPU dumbbell 45 kg (pair)</t>
        </is>
      </c>
      <c r="C63" s="21" t="n">
        <v>1</v>
      </c>
      <c r="D63" s="22" t="inlineStr">
        <is>
          <t>pair</t>
        </is>
      </c>
      <c r="E63" s="23" t="n">
        <v>197.1</v>
      </c>
      <c r="F63" s="13" t="n">
        <v>171</v>
      </c>
      <c r="G63" s="24">
        <f>IF(E63="","",C63*E63)</f>
        <v/>
      </c>
      <c r="H63" s="15" t="n"/>
      <c r="I63" s="16">
        <f>IF(H63="","",C63*H63)</f>
        <v/>
      </c>
      <c r="J63" s="24">
        <f>IF(OR(H63="",E63=""),"",G63-I63)</f>
        <v/>
      </c>
      <c r="K63" s="25">
        <f>IF(H63="","— pending",IF(F63="","quoted?",IF(H63&lt;=F63,"✓ hit target",IF(H63&lt;=E63,"~ under quote","✗ over quote"))))</f>
        <v/>
      </c>
      <c r="L63" s="26" t="inlineStr"/>
    </row>
    <row r="64" ht="19" customHeight="1">
      <c r="A64" s="19" t="inlineStr">
        <is>
          <t>CPU dumbbells 12.5–60 kg · stone</t>
        </is>
      </c>
      <c r="B64" s="20" t="inlineStr">
        <is>
          <t>CPU dumbbell 47.5 kg (pair)</t>
        </is>
      </c>
      <c r="C64" s="21" t="n">
        <v>1</v>
      </c>
      <c r="D64" s="22" t="inlineStr">
        <is>
          <t>pair</t>
        </is>
      </c>
      <c r="E64" s="23" t="n">
        <v>208.05</v>
      </c>
      <c r="F64" s="13" t="n">
        <v>180.5</v>
      </c>
      <c r="G64" s="24">
        <f>IF(E64="","",C64*E64)</f>
        <v/>
      </c>
      <c r="H64" s="15" t="n"/>
      <c r="I64" s="16">
        <f>IF(H64="","",C64*H64)</f>
        <v/>
      </c>
      <c r="J64" s="24">
        <f>IF(OR(H64="",E64=""),"",G64-I64)</f>
        <v/>
      </c>
      <c r="K64" s="25">
        <f>IF(H64="","— pending",IF(F64="","quoted?",IF(H64&lt;=F64,"✓ hit target",IF(H64&lt;=E64,"~ under quote","✗ over quote"))))</f>
        <v/>
      </c>
      <c r="L64" s="26" t="inlineStr"/>
    </row>
    <row r="65" ht="19" customHeight="1">
      <c r="A65" s="19" t="inlineStr">
        <is>
          <t>CPU dumbbells 12.5–60 kg · stone</t>
        </is>
      </c>
      <c r="B65" s="20" t="inlineStr">
        <is>
          <t>CPU dumbbell 50 kg (pair)</t>
        </is>
      </c>
      <c r="C65" s="21" t="n">
        <v>1</v>
      </c>
      <c r="D65" s="22" t="inlineStr">
        <is>
          <t>pair</t>
        </is>
      </c>
      <c r="E65" s="23" t="n">
        <v>219</v>
      </c>
      <c r="F65" s="13" t="n">
        <v>190</v>
      </c>
      <c r="G65" s="24">
        <f>IF(E65="","",C65*E65)</f>
        <v/>
      </c>
      <c r="H65" s="15" t="n"/>
      <c r="I65" s="16">
        <f>IF(H65="","",C65*H65)</f>
        <v/>
      </c>
      <c r="J65" s="24">
        <f>IF(OR(H65="",E65=""),"",G65-I65)</f>
        <v/>
      </c>
      <c r="K65" s="25">
        <f>IF(H65="","— pending",IF(F65="","quoted?",IF(H65&lt;=F65,"✓ hit target",IF(H65&lt;=E65,"~ under quote","✗ over quote"))))</f>
        <v/>
      </c>
      <c r="L65" s="26" t="inlineStr"/>
    </row>
    <row r="66" ht="19" customHeight="1">
      <c r="A66" s="19" t="inlineStr">
        <is>
          <t>CPU dumbbells 12.5–60 kg · stone</t>
        </is>
      </c>
      <c r="B66" s="20" t="inlineStr">
        <is>
          <t>CPU dumbbell 52.5 kg (pair)</t>
        </is>
      </c>
      <c r="C66" s="21" t="n">
        <v>1</v>
      </c>
      <c r="D66" s="22" t="inlineStr">
        <is>
          <t>pair</t>
        </is>
      </c>
      <c r="E66" s="23" t="n">
        <v>229.95</v>
      </c>
      <c r="F66" s="13" t="n">
        <v>199.5</v>
      </c>
      <c r="G66" s="24">
        <f>IF(E66="","",C66*E66)</f>
        <v/>
      </c>
      <c r="H66" s="15" t="n"/>
      <c r="I66" s="16">
        <f>IF(H66="","",C66*H66)</f>
        <v/>
      </c>
      <c r="J66" s="24">
        <f>IF(OR(H66="",E66=""),"",G66-I66)</f>
        <v/>
      </c>
      <c r="K66" s="25">
        <f>IF(H66="","— pending",IF(F66="","quoted?",IF(H66&lt;=F66,"✓ hit target",IF(H66&lt;=E66,"~ under quote","✗ over quote"))))</f>
        <v/>
      </c>
      <c r="L66" s="26" t="inlineStr"/>
    </row>
    <row r="67" ht="19" customHeight="1">
      <c r="A67" s="19" t="inlineStr">
        <is>
          <t>CPU dumbbells 12.5–60 kg · stone</t>
        </is>
      </c>
      <c r="B67" s="20" t="inlineStr">
        <is>
          <t>CPU dumbbell 55 kg (pair)</t>
        </is>
      </c>
      <c r="C67" s="21" t="n">
        <v>1</v>
      </c>
      <c r="D67" s="22" t="inlineStr">
        <is>
          <t>pair</t>
        </is>
      </c>
      <c r="E67" s="23" t="n">
        <v>240.9</v>
      </c>
      <c r="F67" s="13" t="n">
        <v>209</v>
      </c>
      <c r="G67" s="24">
        <f>IF(E67="","",C67*E67)</f>
        <v/>
      </c>
      <c r="H67" s="15" t="n"/>
      <c r="I67" s="16">
        <f>IF(H67="","",C67*H67)</f>
        <v/>
      </c>
      <c r="J67" s="24">
        <f>IF(OR(H67="",E67=""),"",G67-I67)</f>
        <v/>
      </c>
      <c r="K67" s="25">
        <f>IF(H67="","— pending",IF(F67="","quoted?",IF(H67&lt;=F67,"✓ hit target",IF(H67&lt;=E67,"~ under quote","✗ over quote"))))</f>
        <v/>
      </c>
      <c r="L67" s="26" t="inlineStr"/>
    </row>
    <row r="68" ht="19" customHeight="1">
      <c r="A68" s="19" t="inlineStr">
        <is>
          <t>CPU dumbbells 12.5–60 kg · stone</t>
        </is>
      </c>
      <c r="B68" s="20" t="inlineStr">
        <is>
          <t>CPU dumbbell 57.5 kg (pair)</t>
        </is>
      </c>
      <c r="C68" s="21" t="n">
        <v>1</v>
      </c>
      <c r="D68" s="22" t="inlineStr">
        <is>
          <t>pair</t>
        </is>
      </c>
      <c r="E68" s="23" t="n">
        <v>251.85</v>
      </c>
      <c r="F68" s="13" t="n">
        <v>218.5</v>
      </c>
      <c r="G68" s="24">
        <f>IF(E68="","",C68*E68)</f>
        <v/>
      </c>
      <c r="H68" s="15" t="n"/>
      <c r="I68" s="16">
        <f>IF(H68="","",C68*H68)</f>
        <v/>
      </c>
      <c r="J68" s="24">
        <f>IF(OR(H68="",E68=""),"",G68-I68)</f>
        <v/>
      </c>
      <c r="K68" s="25">
        <f>IF(H68="","— pending",IF(F68="","quoted?",IF(H68&lt;=F68,"✓ hit target",IF(H68&lt;=E68,"~ under quote","✗ over quote"))))</f>
        <v/>
      </c>
      <c r="L68" s="26" t="inlineStr"/>
    </row>
    <row r="69" ht="19" customHeight="1">
      <c r="A69" s="19" t="inlineStr">
        <is>
          <t>CPU dumbbells 12.5–60 kg · stone</t>
        </is>
      </c>
      <c r="B69" s="20" t="inlineStr">
        <is>
          <t>CPU dumbbell 60 kg (pair)</t>
        </is>
      </c>
      <c r="C69" s="21" t="n">
        <v>1</v>
      </c>
      <c r="D69" s="22" t="inlineStr">
        <is>
          <t>pair</t>
        </is>
      </c>
      <c r="E69" s="23" t="n">
        <v>262.8</v>
      </c>
      <c r="F69" s="13" t="n">
        <v>228</v>
      </c>
      <c r="G69" s="24">
        <f>IF(E69="","",C69*E69)</f>
        <v/>
      </c>
      <c r="H69" s="15" t="n"/>
      <c r="I69" s="16">
        <f>IF(H69="","",C69*H69)</f>
        <v/>
      </c>
      <c r="J69" s="24">
        <f>IF(OR(H69="",E69=""),"",G69-I69)</f>
        <v/>
      </c>
      <c r="K69" s="25">
        <f>IF(H69="","— pending",IF(F69="","quoted?",IF(H69&lt;=F69,"✓ hit target",IF(H69&lt;=E69,"~ under quote","✗ over quote"))))</f>
        <v/>
      </c>
      <c r="L69" s="26" t="inlineStr"/>
    </row>
    <row r="70" ht="19" customHeight="1">
      <c r="A70" s="8" t="inlineStr">
        <is>
          <t>Specialty bars (loadable)</t>
        </is>
      </c>
      <c r="B70" s="9" t="inlineStr">
        <is>
          <t>EZ curl bar — Olympic loadable</t>
        </is>
      </c>
      <c r="C70" s="10" t="n">
        <v>2</v>
      </c>
      <c r="D70" s="11" t="inlineStr">
        <is>
          <t>each</t>
        </is>
      </c>
      <c r="E70" s="12" t="n">
        <v>22.3</v>
      </c>
      <c r="F70" s="13" t="n">
        <v>20.05</v>
      </c>
      <c r="G70" s="14">
        <f>IF(E70="","",C70*E70)</f>
        <v/>
      </c>
      <c r="H70" s="15" t="n"/>
      <c r="I70" s="16">
        <f>IF(H70="","",C70*H70)</f>
        <v/>
      </c>
      <c r="J70" s="14">
        <f>IF(OR(H70="",E70=""),"",G70-I70)</f>
        <v/>
      </c>
      <c r="K70" s="17">
        <f>IF(H70="","— pending",IF(F70="","quoted?",IF(H70&lt;=F70,"✓ hit target",IF(H70&lt;=E70,"~ under quote","✗ over quote"))))</f>
        <v/>
      </c>
      <c r="L70" s="18" t="inlineStr"/>
    </row>
    <row r="71" ht="19" customHeight="1">
      <c r="A71" s="8" t="inlineStr">
        <is>
          <t>Specialty bars (loadable)</t>
        </is>
      </c>
      <c r="B71" s="9" t="inlineStr">
        <is>
          <t>Trap / hex deadlift bar (28 mm, 1.8 m)</t>
        </is>
      </c>
      <c r="C71" s="10" t="n">
        <v>1</v>
      </c>
      <c r="D71" s="11" t="inlineStr">
        <is>
          <t>each</t>
        </is>
      </c>
      <c r="E71" s="12" t="n">
        <v>60</v>
      </c>
      <c r="F71" s="13" t="n">
        <v>54</v>
      </c>
      <c r="G71" s="14">
        <f>IF(E71="","",C71*E71)</f>
        <v/>
      </c>
      <c r="H71" s="15" t="n"/>
      <c r="I71" s="16">
        <f>IF(H71="","",C71*H71)</f>
        <v/>
      </c>
      <c r="J71" s="14">
        <f>IF(OR(H71="",E71=""),"",G71-I71)</f>
        <v/>
      </c>
      <c r="K71" s="17">
        <f>IF(H71="","— pending",IF(F71="","quoted?",IF(H71&lt;=F71,"✓ hit target",IF(H71&lt;=E71,"~ under quote","✗ over quote"))))</f>
        <v/>
      </c>
      <c r="L71" s="18" t="inlineStr"/>
    </row>
    <row r="72" ht="19" customHeight="1">
      <c r="A72" s="8" t="inlineStr">
        <is>
          <t>Specialty bars (loadable)</t>
        </is>
      </c>
      <c r="B72" s="9" t="inlineStr">
        <is>
          <t>Safety squat bar</t>
        </is>
      </c>
      <c r="C72" s="10" t="n">
        <v>1</v>
      </c>
      <c r="D72" s="11" t="inlineStr">
        <is>
          <t>each</t>
        </is>
      </c>
      <c r="E72" s="12" t="n">
        <v>85</v>
      </c>
      <c r="F72" s="13" t="n">
        <v>76.5</v>
      </c>
      <c r="G72" s="14">
        <f>IF(E72="","",C72*E72)</f>
        <v/>
      </c>
      <c r="H72" s="15" t="n"/>
      <c r="I72" s="16">
        <f>IF(H72="","",C72*H72)</f>
        <v/>
      </c>
      <c r="J72" s="14">
        <f>IF(OR(H72="",E72=""),"",G72-I72)</f>
        <v/>
      </c>
      <c r="K72" s="17">
        <f>IF(H72="","— pending",IF(F72="","quoted?",IF(H72&lt;=F72,"✓ hit target",IF(H72&lt;=E72,"~ under quote","✗ over quote"))))</f>
        <v/>
      </c>
      <c r="L72" s="18" t="inlineStr"/>
    </row>
    <row r="73" ht="19" customHeight="1">
      <c r="A73" s="19" t="inlineStr">
        <is>
          <t>Olympic steel plates · 1000 kg</t>
        </is>
      </c>
      <c r="B73" s="20" t="inlineStr">
        <is>
          <t>Olympic plate 20 kg (pair)</t>
        </is>
      </c>
      <c r="C73" s="21" t="n">
        <v>16</v>
      </c>
      <c r="D73" s="22" t="inlineStr">
        <is>
          <t>pair</t>
        </is>
      </c>
      <c r="E73" s="23" t="n">
        <v>92</v>
      </c>
      <c r="F73" s="13" t="n">
        <v>74</v>
      </c>
      <c r="G73" s="24">
        <f>IF(E73="","",C73*E73)</f>
        <v/>
      </c>
      <c r="H73" s="15" t="n"/>
      <c r="I73" s="16">
        <f>IF(H73="","",C73*H73)</f>
        <v/>
      </c>
      <c r="J73" s="24">
        <f>IF(OR(H73="",E73=""),"",G73-I73)</f>
        <v/>
      </c>
      <c r="K73" s="25">
        <f>IF(H73="","— pending",IF(F73="","quoted?",IF(H73&lt;=F73,"✓ hit target",IF(H73&lt;=E73,"~ under quote","✗ over quote"))))</f>
        <v/>
      </c>
      <c r="L73" s="26" t="inlineStr"/>
    </row>
    <row r="74" ht="19" customHeight="1">
      <c r="A74" s="19" t="inlineStr">
        <is>
          <t>Olympic steel plates · 1000 kg</t>
        </is>
      </c>
      <c r="B74" s="20" t="inlineStr">
        <is>
          <t>Olympic plate 10 kg (pair)</t>
        </is>
      </c>
      <c r="C74" s="21" t="n">
        <v>8</v>
      </c>
      <c r="D74" s="22" t="inlineStr">
        <is>
          <t>pair</t>
        </is>
      </c>
      <c r="E74" s="23" t="n">
        <v>46</v>
      </c>
      <c r="F74" s="13" t="n">
        <v>37</v>
      </c>
      <c r="G74" s="24">
        <f>IF(E74="","",C74*E74)</f>
        <v/>
      </c>
      <c r="H74" s="15" t="n"/>
      <c r="I74" s="16">
        <f>IF(H74="","",C74*H74)</f>
        <v/>
      </c>
      <c r="J74" s="24">
        <f>IF(OR(H74="",E74=""),"",G74-I74)</f>
        <v/>
      </c>
      <c r="K74" s="25">
        <f>IF(H74="","— pending",IF(F74="","quoted?",IF(H74&lt;=F74,"✓ hit target",IF(H74&lt;=E74,"~ under quote","✗ over quote"))))</f>
        <v/>
      </c>
      <c r="L74" s="26" t="inlineStr"/>
    </row>
    <row r="75" ht="19" customHeight="1">
      <c r="A75" s="19" t="inlineStr">
        <is>
          <t>Olympic steel plates · 1000 kg</t>
        </is>
      </c>
      <c r="B75" s="20" t="inlineStr">
        <is>
          <t>Olympic plate 5 kg (pair)</t>
        </is>
      </c>
      <c r="C75" s="21" t="n">
        <v>10</v>
      </c>
      <c r="D75" s="22" t="inlineStr">
        <is>
          <t>pair</t>
        </is>
      </c>
      <c r="E75" s="23" t="n">
        <v>23</v>
      </c>
      <c r="F75" s="13" t="n">
        <v>18.5</v>
      </c>
      <c r="G75" s="24">
        <f>IF(E75="","",C75*E75)</f>
        <v/>
      </c>
      <c r="H75" s="15" t="n"/>
      <c r="I75" s="16">
        <f>IF(H75="","",C75*H75)</f>
        <v/>
      </c>
      <c r="J75" s="24">
        <f>IF(OR(H75="",E75=""),"",G75-I75)</f>
        <v/>
      </c>
      <c r="K75" s="25">
        <f>IF(H75="","— pending",IF(F75="","quoted?",IF(H75&lt;=F75,"✓ hit target",IF(H75&lt;=E75,"~ under quote","✗ over quote"))))</f>
        <v/>
      </c>
      <c r="L75" s="26" t="inlineStr"/>
    </row>
    <row r="76" ht="19" customHeight="1">
      <c r="A76" s="19" t="inlineStr">
        <is>
          <t>Olympic steel plates · 1000 kg</t>
        </is>
      </c>
      <c r="B76" s="20" t="inlineStr">
        <is>
          <t>Olympic plate 2.5 kg (pair)</t>
        </is>
      </c>
      <c r="C76" s="21" t="n">
        <v>12</v>
      </c>
      <c r="D76" s="22" t="inlineStr">
        <is>
          <t>pair</t>
        </is>
      </c>
      <c r="E76" s="23" t="n">
        <v>11.5</v>
      </c>
      <c r="F76" s="13" t="n">
        <v>9.25</v>
      </c>
      <c r="G76" s="24">
        <f>IF(E76="","",C76*E76)</f>
        <v/>
      </c>
      <c r="H76" s="15" t="n"/>
      <c r="I76" s="16">
        <f>IF(H76="","",C76*H76)</f>
        <v/>
      </c>
      <c r="J76" s="24">
        <f>IF(OR(H76="",E76=""),"",G76-I76)</f>
        <v/>
      </c>
      <c r="K76" s="25">
        <f>IF(H76="","— pending",IF(F76="","quoted?",IF(H76&lt;=F76,"✓ hit target",IF(H76&lt;=E76,"~ under quote","✗ over quote"))))</f>
        <v/>
      </c>
      <c r="L76" s="26" t="inlineStr"/>
    </row>
    <row r="77" ht="19" customHeight="1">
      <c r="A77" s="19" t="inlineStr">
        <is>
          <t>Olympic steel plates · 1000 kg</t>
        </is>
      </c>
      <c r="B77" s="20" t="inlineStr">
        <is>
          <t>Olympic plate 1.25 kg (pair)</t>
        </is>
      </c>
      <c r="C77" s="21" t="n">
        <v>12</v>
      </c>
      <c r="D77" s="22" t="inlineStr">
        <is>
          <t>pair</t>
        </is>
      </c>
      <c r="E77" s="23" t="n">
        <v>5.75</v>
      </c>
      <c r="F77" s="13" t="n">
        <v>4.62</v>
      </c>
      <c r="G77" s="24">
        <f>IF(E77="","",C77*E77)</f>
        <v/>
      </c>
      <c r="H77" s="15" t="n"/>
      <c r="I77" s="16">
        <f>IF(H77="","",C77*H77)</f>
        <v/>
      </c>
      <c r="J77" s="24">
        <f>IF(OR(H77="",E77=""),"",G77-I77)</f>
        <v/>
      </c>
      <c r="K77" s="25">
        <f>IF(H77="","— pending",IF(F77="","quoted?",IF(H77&lt;=F77,"✓ hit target",IF(H77&lt;=E77,"~ under quote","✗ over quote"))))</f>
        <v/>
      </c>
      <c r="L77" s="26" t="inlineStr"/>
    </row>
    <row r="78" ht="19" customHeight="1">
      <c r="A78" s="19" t="inlineStr">
        <is>
          <t>Olympic steel plates · 1000 kg</t>
        </is>
      </c>
      <c r="B78" s="20" t="inlineStr">
        <is>
          <t>Olympic plate 0.5 kg (pair)</t>
        </is>
      </c>
      <c r="C78" s="21" t="n">
        <v>10</v>
      </c>
      <c r="D78" s="22" t="inlineStr">
        <is>
          <t>pair</t>
        </is>
      </c>
      <c r="E78" s="23" t="n">
        <v>2.3</v>
      </c>
      <c r="F78" s="13" t="n">
        <v>1.85</v>
      </c>
      <c r="G78" s="24">
        <f>IF(E78="","",C78*E78)</f>
        <v/>
      </c>
      <c r="H78" s="15" t="n"/>
      <c r="I78" s="16">
        <f>IF(H78="","",C78*H78)</f>
        <v/>
      </c>
      <c r="J78" s="24">
        <f>IF(OR(H78="",E78=""),"",G78-I78)</f>
        <v/>
      </c>
      <c r="K78" s="25">
        <f>IF(H78="","— pending",IF(F78="","quoted?",IF(H78&lt;=F78,"✓ hit target",IF(H78&lt;=E78,"~ under quote","✗ over quote"))))</f>
        <v/>
      </c>
      <c r="L78" s="26" t="inlineStr"/>
    </row>
    <row r="79" ht="19" customHeight="1">
      <c r="A79" s="8" t="inlineStr">
        <is>
          <t>Handle / tri-grip plates · 1000 kg</t>
        </is>
      </c>
      <c r="B79" s="9" t="inlineStr">
        <is>
          <t>Handle/tri-grip plate 20 kg (pair)</t>
        </is>
      </c>
      <c r="C79" s="10" t="n">
        <v>16</v>
      </c>
      <c r="D79" s="11" t="inlineStr">
        <is>
          <t>pair</t>
        </is>
      </c>
      <c r="E79" s="12" t="n">
        <v>89.59999999999999</v>
      </c>
      <c r="F79" s="13" t="n">
        <v>80</v>
      </c>
      <c r="G79" s="14">
        <f>IF(E79="","",C79*E79)</f>
        <v/>
      </c>
      <c r="H79" s="15" t="n"/>
      <c r="I79" s="16">
        <f>IF(H79="","",C79*H79)</f>
        <v/>
      </c>
      <c r="J79" s="14">
        <f>IF(OR(H79="",E79=""),"",G79-I79)</f>
        <v/>
      </c>
      <c r="K79" s="17">
        <f>IF(H79="","— pending",IF(F79="","quoted?",IF(H79&lt;=F79,"✓ hit target",IF(H79&lt;=E79,"~ under quote","✗ over quote"))))</f>
        <v/>
      </c>
      <c r="L79" s="18" t="inlineStr"/>
    </row>
    <row r="80" ht="19" customHeight="1">
      <c r="A80" s="8" t="inlineStr">
        <is>
          <t>Handle / tri-grip plates · 1000 kg</t>
        </is>
      </c>
      <c r="B80" s="9" t="inlineStr">
        <is>
          <t>Handle/tri-grip plate 10 kg (pair)</t>
        </is>
      </c>
      <c r="C80" s="10" t="n">
        <v>8</v>
      </c>
      <c r="D80" s="11" t="inlineStr">
        <is>
          <t>pair</t>
        </is>
      </c>
      <c r="E80" s="12" t="n">
        <v>44.8</v>
      </c>
      <c r="F80" s="13" t="n">
        <v>40</v>
      </c>
      <c r="G80" s="14">
        <f>IF(E80="","",C80*E80)</f>
        <v/>
      </c>
      <c r="H80" s="15" t="n"/>
      <c r="I80" s="16">
        <f>IF(H80="","",C80*H80)</f>
        <v/>
      </c>
      <c r="J80" s="14">
        <f>IF(OR(H80="",E80=""),"",G80-I80)</f>
        <v/>
      </c>
      <c r="K80" s="17">
        <f>IF(H80="","— pending",IF(F80="","quoted?",IF(H80&lt;=F80,"✓ hit target",IF(H80&lt;=E80,"~ under quote","✗ over quote"))))</f>
        <v/>
      </c>
      <c r="L80" s="18" t="inlineStr"/>
    </row>
    <row r="81" ht="19" customHeight="1">
      <c r="A81" s="8" t="inlineStr">
        <is>
          <t>Handle / tri-grip plates · 1000 kg</t>
        </is>
      </c>
      <c r="B81" s="9" t="inlineStr">
        <is>
          <t>Handle/tri-grip plate 5 kg (pair)</t>
        </is>
      </c>
      <c r="C81" s="10" t="n">
        <v>10</v>
      </c>
      <c r="D81" s="11" t="inlineStr">
        <is>
          <t>pair</t>
        </is>
      </c>
      <c r="E81" s="12" t="n">
        <v>22.4</v>
      </c>
      <c r="F81" s="13" t="n">
        <v>20</v>
      </c>
      <c r="G81" s="14">
        <f>IF(E81="","",C81*E81)</f>
        <v/>
      </c>
      <c r="H81" s="15" t="n"/>
      <c r="I81" s="16">
        <f>IF(H81="","",C81*H81)</f>
        <v/>
      </c>
      <c r="J81" s="14">
        <f>IF(OR(H81="",E81=""),"",G81-I81)</f>
        <v/>
      </c>
      <c r="K81" s="17">
        <f>IF(H81="","— pending",IF(F81="","quoted?",IF(H81&lt;=F81,"✓ hit target",IF(H81&lt;=E81,"~ under quote","✗ over quote"))))</f>
        <v/>
      </c>
      <c r="L81" s="18" t="inlineStr"/>
    </row>
    <row r="82" ht="19" customHeight="1">
      <c r="A82" s="8" t="inlineStr">
        <is>
          <t>Handle / tri-grip plates · 1000 kg</t>
        </is>
      </c>
      <c r="B82" s="9" t="inlineStr">
        <is>
          <t>Handle/tri-grip plate 2.5 kg (pair)</t>
        </is>
      </c>
      <c r="C82" s="10" t="n">
        <v>12</v>
      </c>
      <c r="D82" s="11" t="inlineStr">
        <is>
          <t>pair</t>
        </is>
      </c>
      <c r="E82" s="12" t="n">
        <v>11.2</v>
      </c>
      <c r="F82" s="13" t="n">
        <v>10</v>
      </c>
      <c r="G82" s="14">
        <f>IF(E82="","",C82*E82)</f>
        <v/>
      </c>
      <c r="H82" s="15" t="n"/>
      <c r="I82" s="16">
        <f>IF(H82="","",C82*H82)</f>
        <v/>
      </c>
      <c r="J82" s="14">
        <f>IF(OR(H82="",E82=""),"",G82-I82)</f>
        <v/>
      </c>
      <c r="K82" s="17">
        <f>IF(H82="","— pending",IF(F82="","quoted?",IF(H82&lt;=F82,"✓ hit target",IF(H82&lt;=E82,"~ under quote","✗ over quote"))))</f>
        <v/>
      </c>
      <c r="L82" s="18" t="inlineStr"/>
    </row>
    <row r="83" ht="19" customHeight="1">
      <c r="A83" s="8" t="inlineStr">
        <is>
          <t>Handle / tri-grip plates · 1000 kg</t>
        </is>
      </c>
      <c r="B83" s="9" t="inlineStr">
        <is>
          <t>Handle/tri-grip plate 1.25 kg (pair)</t>
        </is>
      </c>
      <c r="C83" s="10" t="n">
        <v>12</v>
      </c>
      <c r="D83" s="11" t="inlineStr">
        <is>
          <t>pair</t>
        </is>
      </c>
      <c r="E83" s="12" t="n">
        <v>5.6</v>
      </c>
      <c r="F83" s="13" t="n">
        <v>5</v>
      </c>
      <c r="G83" s="14">
        <f>IF(E83="","",C83*E83)</f>
        <v/>
      </c>
      <c r="H83" s="15" t="n"/>
      <c r="I83" s="16">
        <f>IF(H83="","",C83*H83)</f>
        <v/>
      </c>
      <c r="J83" s="14">
        <f>IF(OR(H83="",E83=""),"",G83-I83)</f>
        <v/>
      </c>
      <c r="K83" s="17">
        <f>IF(H83="","— pending",IF(F83="","quoted?",IF(H83&lt;=F83,"✓ hit target",IF(H83&lt;=E83,"~ under quote","✗ over quote"))))</f>
        <v/>
      </c>
      <c r="L83" s="18" t="inlineStr"/>
    </row>
    <row r="84" ht="19" customHeight="1">
      <c r="A84" s="8" t="inlineStr">
        <is>
          <t>Handle / tri-grip plates · 1000 kg</t>
        </is>
      </c>
      <c r="B84" s="9" t="inlineStr">
        <is>
          <t>Handle/tri-grip plate 0.5 kg (pair)</t>
        </is>
      </c>
      <c r="C84" s="10" t="n">
        <v>10</v>
      </c>
      <c r="D84" s="11" t="inlineStr">
        <is>
          <t>pair</t>
        </is>
      </c>
      <c r="E84" s="12" t="n">
        <v>2.24</v>
      </c>
      <c r="F84" s="13" t="n">
        <v>2</v>
      </c>
      <c r="G84" s="14">
        <f>IF(E84="","",C84*E84)</f>
        <v/>
      </c>
      <c r="H84" s="15" t="n"/>
      <c r="I84" s="16">
        <f>IF(H84="","",C84*H84)</f>
        <v/>
      </c>
      <c r="J84" s="14">
        <f>IF(OR(H84="",E84=""),"",G84-I84)</f>
        <v/>
      </c>
      <c r="K84" s="17">
        <f>IF(H84="","— pending",IF(F84="","quoted?",IF(H84&lt;=F84,"✓ hit target",IF(H84&lt;=E84,"~ under quote","✗ over quote"))))</f>
        <v/>
      </c>
      <c r="L84" s="18" t="inlineStr"/>
    </row>
    <row r="85" ht="19" customHeight="1">
      <c r="A85" s="27" t="inlineStr">
        <is>
          <t>Fixed-weight bars — NOT YET QUOTED</t>
        </is>
      </c>
      <c r="B85" s="28" t="inlineStr">
        <is>
          <t>EZ curl bar (fixed) 15 kg</t>
        </is>
      </c>
      <c r="C85" s="29" t="n">
        <v>1</v>
      </c>
      <c r="D85" s="30" t="inlineStr">
        <is>
          <t>each</t>
        </is>
      </c>
      <c r="E85" s="31" t="n"/>
      <c r="F85" s="13" t="n"/>
      <c r="G85" s="32">
        <f>IF(E85="","",C85*E85)</f>
        <v/>
      </c>
      <c r="H85" s="15" t="n"/>
      <c r="I85" s="16">
        <f>IF(H85="","",C85*H85)</f>
        <v/>
      </c>
      <c r="J85" s="32">
        <f>IF(OR(H85="",E85=""),"",G85-I85)</f>
        <v/>
      </c>
      <c r="K85" s="33">
        <f>IF(H85="","— pending",IF(F85="","quoted?",IF(H85&lt;=F85,"✓ hit target",IF(H85&lt;=E85,"~ under quote","✗ over quote"))))</f>
        <v/>
      </c>
      <c r="L85" s="34" t="inlineStr">
        <is>
          <t>NOT YET QUOTED — get a price</t>
        </is>
      </c>
    </row>
    <row r="86" ht="19" customHeight="1">
      <c r="A86" s="27" t="inlineStr">
        <is>
          <t>Fixed-weight bars — NOT YET QUOTED</t>
        </is>
      </c>
      <c r="B86" s="28" t="inlineStr">
        <is>
          <t>EZ curl bar (fixed) 20 kg</t>
        </is>
      </c>
      <c r="C86" s="29" t="n">
        <v>1</v>
      </c>
      <c r="D86" s="30" t="inlineStr">
        <is>
          <t>each</t>
        </is>
      </c>
      <c r="E86" s="31" t="n"/>
      <c r="F86" s="13" t="n"/>
      <c r="G86" s="32">
        <f>IF(E86="","",C86*E86)</f>
        <v/>
      </c>
      <c r="H86" s="15" t="n"/>
      <c r="I86" s="16">
        <f>IF(H86="","",C86*H86)</f>
        <v/>
      </c>
      <c r="J86" s="32">
        <f>IF(OR(H86="",E86=""),"",G86-I86)</f>
        <v/>
      </c>
      <c r="K86" s="33">
        <f>IF(H86="","— pending",IF(F86="","quoted?",IF(H86&lt;=F86,"✓ hit target",IF(H86&lt;=E86,"~ under quote","✗ over quote"))))</f>
        <v/>
      </c>
      <c r="L86" s="34" t="inlineStr">
        <is>
          <t>NOT YET QUOTED — get a price</t>
        </is>
      </c>
    </row>
    <row r="87" ht="19" customHeight="1">
      <c r="A87" s="27" t="inlineStr">
        <is>
          <t>Fixed-weight bars — NOT YET QUOTED</t>
        </is>
      </c>
      <c r="B87" s="28" t="inlineStr">
        <is>
          <t>EZ curl bar (fixed) 25 kg</t>
        </is>
      </c>
      <c r="C87" s="29" t="n">
        <v>1</v>
      </c>
      <c r="D87" s="30" t="inlineStr">
        <is>
          <t>each</t>
        </is>
      </c>
      <c r="E87" s="31" t="n"/>
      <c r="F87" s="13" t="n"/>
      <c r="G87" s="32">
        <f>IF(E87="","",C87*E87)</f>
        <v/>
      </c>
      <c r="H87" s="15" t="n"/>
      <c r="I87" s="16">
        <f>IF(H87="","",C87*H87)</f>
        <v/>
      </c>
      <c r="J87" s="32">
        <f>IF(OR(H87="",E87=""),"",G87-I87)</f>
        <v/>
      </c>
      <c r="K87" s="33">
        <f>IF(H87="","— pending",IF(F87="","quoted?",IF(H87&lt;=F87,"✓ hit target",IF(H87&lt;=E87,"~ under quote","✗ over quote"))))</f>
        <v/>
      </c>
      <c r="L87" s="34" t="inlineStr">
        <is>
          <t>NOT YET QUOTED — get a price</t>
        </is>
      </c>
    </row>
    <row r="88" ht="19" customHeight="1">
      <c r="A88" s="27" t="inlineStr">
        <is>
          <t>Fixed-weight bars — NOT YET QUOTED</t>
        </is>
      </c>
      <c r="B88" s="28" t="inlineStr">
        <is>
          <t>EZ curl bar (fixed) 30 kg</t>
        </is>
      </c>
      <c r="C88" s="29" t="n">
        <v>1</v>
      </c>
      <c r="D88" s="30" t="inlineStr">
        <is>
          <t>each</t>
        </is>
      </c>
      <c r="E88" s="31" t="n"/>
      <c r="F88" s="13" t="n"/>
      <c r="G88" s="32">
        <f>IF(E88="","",C88*E88)</f>
        <v/>
      </c>
      <c r="H88" s="15" t="n"/>
      <c r="I88" s="16">
        <f>IF(H88="","",C88*H88)</f>
        <v/>
      </c>
      <c r="J88" s="32">
        <f>IF(OR(H88="",E88=""),"",G88-I88)</f>
        <v/>
      </c>
      <c r="K88" s="33">
        <f>IF(H88="","— pending",IF(F88="","quoted?",IF(H88&lt;=F88,"✓ hit target",IF(H88&lt;=E88,"~ under quote","✗ over quote"))))</f>
        <v/>
      </c>
      <c r="L88" s="34" t="inlineStr">
        <is>
          <t>NOT YET QUOTED — get a price</t>
        </is>
      </c>
    </row>
    <row r="89" ht="19" customHeight="1">
      <c r="A89" s="27" t="inlineStr">
        <is>
          <t>Fixed-weight bars — NOT YET QUOTED</t>
        </is>
      </c>
      <c r="B89" s="28" t="inlineStr">
        <is>
          <t>EZ curl bar (fixed) 35 kg</t>
        </is>
      </c>
      <c r="C89" s="29" t="n">
        <v>1</v>
      </c>
      <c r="D89" s="30" t="inlineStr">
        <is>
          <t>each</t>
        </is>
      </c>
      <c r="E89" s="31" t="n"/>
      <c r="F89" s="13" t="n"/>
      <c r="G89" s="32">
        <f>IF(E89="","",C89*E89)</f>
        <v/>
      </c>
      <c r="H89" s="15" t="n"/>
      <c r="I89" s="16">
        <f>IF(H89="","",C89*H89)</f>
        <v/>
      </c>
      <c r="J89" s="32">
        <f>IF(OR(H89="",E89=""),"",G89-I89)</f>
        <v/>
      </c>
      <c r="K89" s="33">
        <f>IF(H89="","— pending",IF(F89="","quoted?",IF(H89&lt;=F89,"✓ hit target",IF(H89&lt;=E89,"~ under quote","✗ over quote"))))</f>
        <v/>
      </c>
      <c r="L89" s="34" t="inlineStr">
        <is>
          <t>NOT YET QUOTED — get a price</t>
        </is>
      </c>
    </row>
    <row r="90" ht="19" customHeight="1">
      <c r="A90" s="27" t="inlineStr">
        <is>
          <t>Fixed-weight bars — NOT YET QUOTED</t>
        </is>
      </c>
      <c r="B90" s="28" t="inlineStr">
        <is>
          <t>Straight bar (fixed) 20 kg</t>
        </is>
      </c>
      <c r="C90" s="29" t="n">
        <v>1</v>
      </c>
      <c r="D90" s="30" t="inlineStr">
        <is>
          <t>each</t>
        </is>
      </c>
      <c r="E90" s="31" t="n"/>
      <c r="F90" s="13" t="n"/>
      <c r="G90" s="32">
        <f>IF(E90="","",C90*E90)</f>
        <v/>
      </c>
      <c r="H90" s="15" t="n"/>
      <c r="I90" s="16">
        <f>IF(H90="","",C90*H90)</f>
        <v/>
      </c>
      <c r="J90" s="32">
        <f>IF(OR(H90="",E90=""),"",G90-I90)</f>
        <v/>
      </c>
      <c r="K90" s="33">
        <f>IF(H90="","— pending",IF(F90="","quoted?",IF(H90&lt;=F90,"✓ hit target",IF(H90&lt;=E90,"~ under quote","✗ over quote"))))</f>
        <v/>
      </c>
      <c r="L90" s="34" t="inlineStr">
        <is>
          <t>NOT YET QUOTED — get a price</t>
        </is>
      </c>
    </row>
    <row r="91" ht="19" customHeight="1">
      <c r="A91" s="27" t="inlineStr">
        <is>
          <t>Fixed-weight bars — NOT YET QUOTED</t>
        </is>
      </c>
      <c r="B91" s="28" t="inlineStr">
        <is>
          <t>Straight bar (fixed) 25 kg</t>
        </is>
      </c>
      <c r="C91" s="29" t="n">
        <v>1</v>
      </c>
      <c r="D91" s="30" t="inlineStr">
        <is>
          <t>each</t>
        </is>
      </c>
      <c r="E91" s="31" t="n"/>
      <c r="F91" s="13" t="n"/>
      <c r="G91" s="32">
        <f>IF(E91="","",C91*E91)</f>
        <v/>
      </c>
      <c r="H91" s="15" t="n"/>
      <c r="I91" s="16">
        <f>IF(H91="","",C91*H91)</f>
        <v/>
      </c>
      <c r="J91" s="32">
        <f>IF(OR(H91="",E91=""),"",G91-I91)</f>
        <v/>
      </c>
      <c r="K91" s="33">
        <f>IF(H91="","— pending",IF(F91="","quoted?",IF(H91&lt;=F91,"✓ hit target",IF(H91&lt;=E91,"~ under quote","✗ over quote"))))</f>
        <v/>
      </c>
      <c r="L91" s="34" t="inlineStr">
        <is>
          <t>NOT YET QUOTED — get a price</t>
        </is>
      </c>
    </row>
    <row r="92" ht="19" customHeight="1">
      <c r="A92" s="27" t="inlineStr">
        <is>
          <t>Fixed-weight bars — NOT YET QUOTED</t>
        </is>
      </c>
      <c r="B92" s="28" t="inlineStr">
        <is>
          <t>Straight bar (fixed) 30 kg</t>
        </is>
      </c>
      <c r="C92" s="29" t="n">
        <v>1</v>
      </c>
      <c r="D92" s="30" t="inlineStr">
        <is>
          <t>each</t>
        </is>
      </c>
      <c r="E92" s="31" t="n"/>
      <c r="F92" s="13" t="n"/>
      <c r="G92" s="32">
        <f>IF(E92="","",C92*E92)</f>
        <v/>
      </c>
      <c r="H92" s="15" t="n"/>
      <c r="I92" s="16">
        <f>IF(H92="","",C92*H92)</f>
        <v/>
      </c>
      <c r="J92" s="32">
        <f>IF(OR(H92="",E92=""),"",G92-I92)</f>
        <v/>
      </c>
      <c r="K92" s="33">
        <f>IF(H92="","— pending",IF(F92="","quoted?",IF(H92&lt;=F92,"✓ hit target",IF(H92&lt;=E92,"~ under quote","✗ over quote"))))</f>
        <v/>
      </c>
      <c r="L92" s="34" t="inlineStr">
        <is>
          <t>NOT YET QUOTED — get a price</t>
        </is>
      </c>
    </row>
    <row r="93" ht="19" customHeight="1">
      <c r="A93" s="27" t="inlineStr">
        <is>
          <t>Fixed-weight bars — NOT YET QUOTED</t>
        </is>
      </c>
      <c r="B93" s="28" t="inlineStr">
        <is>
          <t>Straight bar (fixed) 35 kg</t>
        </is>
      </c>
      <c r="C93" s="29" t="n">
        <v>1</v>
      </c>
      <c r="D93" s="30" t="inlineStr">
        <is>
          <t>each</t>
        </is>
      </c>
      <c r="E93" s="31" t="n"/>
      <c r="F93" s="13" t="n"/>
      <c r="G93" s="32">
        <f>IF(E93="","",C93*E93)</f>
        <v/>
      </c>
      <c r="H93" s="15" t="n"/>
      <c r="I93" s="16">
        <f>IF(H93="","",C93*H93)</f>
        <v/>
      </c>
      <c r="J93" s="32">
        <f>IF(OR(H93="",E93=""),"",G93-I93)</f>
        <v/>
      </c>
      <c r="K93" s="33">
        <f>IF(H93="","— pending",IF(F93="","quoted?",IF(H93&lt;=F93,"✓ hit target",IF(H93&lt;=E93,"~ under quote","✗ over quote"))))</f>
        <v/>
      </c>
      <c r="L93" s="34" t="inlineStr">
        <is>
          <t>NOT YET QUOTED — get a price</t>
        </is>
      </c>
    </row>
    <row r="94" ht="19" customHeight="1">
      <c r="A94" s="27" t="inlineStr">
        <is>
          <t>Fixed-weight bars — NOT YET QUOTED</t>
        </is>
      </c>
      <c r="B94" s="28" t="inlineStr">
        <is>
          <t>Straight bar (fixed) 40 kg</t>
        </is>
      </c>
      <c r="C94" s="29" t="n">
        <v>1</v>
      </c>
      <c r="D94" s="30" t="inlineStr">
        <is>
          <t>each</t>
        </is>
      </c>
      <c r="E94" s="31" t="n"/>
      <c r="F94" s="13" t="n"/>
      <c r="G94" s="32">
        <f>IF(E94="","",C94*E94)</f>
        <v/>
      </c>
      <c r="H94" s="15" t="n"/>
      <c r="I94" s="16">
        <f>IF(H94="","",C94*H94)</f>
        <v/>
      </c>
      <c r="J94" s="32">
        <f>IF(OR(H94="",E94=""),"",G94-I94)</f>
        <v/>
      </c>
      <c r="K94" s="33">
        <f>IF(H94="","— pending",IF(F94="","quoted?",IF(H94&lt;=F94,"✓ hit target",IF(H94&lt;=E94,"~ under quote","✗ over quote"))))</f>
        <v/>
      </c>
      <c r="L94" s="34" t="inlineStr">
        <is>
          <t>NOT YET QUOTED — get a price</t>
        </is>
      </c>
    </row>
    <row r="95" ht="19" customHeight="1">
      <c r="A95" s="27" t="inlineStr">
        <is>
          <t>Functional — NOT YET QUOTED</t>
        </is>
      </c>
      <c r="B95" s="28" t="inlineStr">
        <is>
          <t>Torsonator / landmine attachment</t>
        </is>
      </c>
      <c r="C95" s="29" t="n">
        <v>8</v>
      </c>
      <c r="D95" s="30" t="inlineStr">
        <is>
          <t>each</t>
        </is>
      </c>
      <c r="E95" s="31" t="n"/>
      <c r="F95" s="13" t="n"/>
      <c r="G95" s="32">
        <f>IF(E95="","",C95*E95)</f>
        <v/>
      </c>
      <c r="H95" s="15" t="n"/>
      <c r="I95" s="16">
        <f>IF(H95="","",C95*H95)</f>
        <v/>
      </c>
      <c r="J95" s="32">
        <f>IF(OR(H95="",E95=""),"",G95-I95)</f>
        <v/>
      </c>
      <c r="K95" s="33">
        <f>IF(H95="","— pending",IF(F95="","quoted?",IF(H95&lt;=F95,"✓ hit target",IF(H95&lt;=E95,"~ under quote","✗ over quote"))))</f>
        <v/>
      </c>
      <c r="L95" s="34" t="inlineStr">
        <is>
          <t>NOT YET QUOTED — get a price</t>
        </is>
      </c>
    </row>
    <row r="96" ht="19" customHeight="1">
      <c r="A96" s="27" t="inlineStr">
        <is>
          <t>Functional — NOT YET QUOTED</t>
        </is>
      </c>
      <c r="B96" s="28" t="inlineStr">
        <is>
          <t>Gymnastic rings — adjustable</t>
        </is>
      </c>
      <c r="C96" s="29" t="n">
        <v>8</v>
      </c>
      <c r="D96" s="30" t="inlineStr">
        <is>
          <t>each</t>
        </is>
      </c>
      <c r="E96" s="31" t="n"/>
      <c r="F96" s="13" t="n"/>
      <c r="G96" s="32">
        <f>IF(E96="","",C96*E96)</f>
        <v/>
      </c>
      <c r="H96" s="15" t="n"/>
      <c r="I96" s="16">
        <f>IF(H96="","",C96*H96)</f>
        <v/>
      </c>
      <c r="J96" s="32">
        <f>IF(OR(H96="",E96=""),"",G96-I96)</f>
        <v/>
      </c>
      <c r="K96" s="33">
        <f>IF(H96="","— pending",IF(F96="","quoted?",IF(H96&lt;=F96,"✓ hit target",IF(H96&lt;=E96,"~ under quote","✗ over quote"))))</f>
        <v/>
      </c>
      <c r="L96" s="34" t="inlineStr">
        <is>
          <t>NOT YET QUOTED — get a price</t>
        </is>
      </c>
    </row>
    <row r="98" ht="28" customHeight="1">
      <c r="A98" s="35" t="inlineStr">
        <is>
          <t>TOTALS</t>
        </is>
      </c>
      <c r="B98" s="35" t="inlineStr"/>
      <c r="C98" s="36">
        <f>SUM(C10:C96)</f>
        <v/>
      </c>
      <c r="D98" s="37" t="inlineStr">
        <is>
          <t>pcs</t>
        </is>
      </c>
      <c r="E98" s="36" t="inlineStr"/>
      <c r="F98" s="36" t="inlineStr"/>
      <c r="G98" s="38">
        <f>SUM(G10:G96)</f>
        <v/>
      </c>
      <c r="H98" s="37" t="inlineStr"/>
      <c r="I98" s="38">
        <f>SUM(I10:I96)</f>
        <v/>
      </c>
      <c r="J98" s="38">
        <f>IF(SUM(I10:I96)=0,"",SUMIF(H10:H96,"&gt;0",G10:G96)-SUM(I10:I96))</f>
        <v/>
      </c>
      <c r="K98" s="37">
        <f>COUNT(H10:H96)&amp;" / 87 priced"</f>
        <v/>
      </c>
      <c r="L98" s="35" t="inlineStr"/>
    </row>
    <row r="100" ht="18" customHeight="1">
      <c r="A100" s="3" t="inlineStr">
        <is>
          <t>Target total — if we hit every target</t>
        </is>
      </c>
      <c r="G100" s="39">
        <f>SUMPRODUCT(C10:C96,N(F10:F96))</f>
        <v/>
      </c>
      <c r="H100" s="40" t="inlineStr">
        <is>
          <t>Alibaba-benchmarked</t>
        </is>
      </c>
    </row>
    <row r="101" ht="18" customHeight="1">
      <c r="A101" s="3" t="inlineStr">
        <is>
          <t>Quoted total for the lines we HAVE priced</t>
        </is>
      </c>
      <c r="G101" s="39">
        <f>SUMIF(H10:H96,"&gt;0",G10:G96)</f>
        <v/>
      </c>
      <c r="H101" s="40" t="inlineStr">
        <is>
          <t>Compare Agreed total against THIS, not the full quoted total</t>
        </is>
      </c>
    </row>
    <row r="102" ht="18" customHeight="1">
      <c r="A102" s="3" t="inlineStr">
        <is>
          <t>Lines still to price</t>
        </is>
      </c>
      <c r="G102" s="41">
        <f>COUNTBLANK(H10:H96)</f>
        <v/>
      </c>
      <c r="H102" s="40" t="inlineStr"/>
    </row>
  </sheetData>
  <autoFilter ref="A9:L96"/>
  <mergeCells count="13">
    <mergeCell ref="B4:L4"/>
    <mergeCell ref="H101:L101"/>
    <mergeCell ref="A7:L7"/>
    <mergeCell ref="H100:L100"/>
    <mergeCell ref="B6:L6"/>
    <mergeCell ref="A102:F102"/>
    <mergeCell ref="A1:L1"/>
    <mergeCell ref="B3:L3"/>
    <mergeCell ref="B2:L2"/>
    <mergeCell ref="B5:L5"/>
    <mergeCell ref="H102:L102"/>
    <mergeCell ref="A100:F100"/>
    <mergeCell ref="A101:F101"/>
  </mergeCells>
  <conditionalFormatting sqref="J10:J9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K10:K96">
    <cfRule type="expression" priority="3" dxfId="2">
      <formula>ISNUMBER(SEARCH("hit target",K10))</formula>
    </cfRule>
    <cfRule type="expression" priority="4" dxfId="3">
      <formula>ISNUMBER(SEARCH("over quote",K10))</formula>
    </cfRule>
    <cfRule type="expression" priority="5" dxfId="4">
      <formula>ISNUMBER(SEARCH("under quote",K10))</formula>
    </cfRule>
  </conditionalFormatting>
  <dataValidations count="1">
    <dataValidation sqref="H10:H96" showDropDown="0" showInputMessage="0" showErrorMessage="1" allowBlank="1" errorTitle="Numbers only" error="Enter the agreed price per piece, e.g. 63.00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2026-07-23T10:54:39Z</dcterms:created>
  <dcterms:modified xsi:type="dcterms:W3CDTF">2026-07-23T10:54:39Z</dcterms:modified>
</cp:coreProperties>
</file>